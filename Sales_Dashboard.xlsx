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dnis\Downloads\"/>
    </mc:Choice>
  </mc:AlternateContent>
  <xr:revisionPtr revIDLastSave="0" documentId="13_ncr:1_{58021B90-F842-420E-B5E4-AD55E72BE034}" xr6:coauthVersionLast="47" xr6:coauthVersionMax="47" xr10:uidLastSave="{00000000-0000-0000-0000-000000000000}"/>
  <bookViews>
    <workbookView xWindow="-108" yWindow="-108" windowWidth="23256" windowHeight="12456" tabRatio="500" xr2:uid="{00000000-000D-0000-FFFF-FFFF00000000}"/>
  </bookViews>
  <sheets>
    <sheet name="Sales Data" sheetId="1" r:id="rId1"/>
    <sheet name="Dashboard" sheetId="2" r:id="rId2"/>
    <sheet name="Pivot &amp; Slicer" sheetId="3" r:id="rId3"/>
  </sheets>
  <definedNames>
    <definedName name="Slicer_Month">#N/A</definedName>
    <definedName name="Slicer_Product">#N/A</definedName>
    <definedName name="Slicer_Region">#N/A</definedName>
    <definedName name="Slicer_Salesperson">#N/A</definedName>
  </definedNames>
  <calcPr calcId="191029" iterateDelta="1E-4"/>
  <pivotCaches>
    <pivotCache cacheId="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1" i="2" l="1"/>
  <c r="K20" i="2"/>
  <c r="K19" i="2"/>
  <c r="K18" i="2"/>
  <c r="K17" i="2"/>
  <c r="H17" i="2"/>
  <c r="K16" i="2"/>
  <c r="H16" i="2"/>
  <c r="K15" i="2"/>
  <c r="H15" i="2"/>
  <c r="E15" i="2"/>
  <c r="K14" i="2"/>
  <c r="H14" i="2"/>
  <c r="E14" i="2"/>
  <c r="K13" i="2"/>
  <c r="H13" i="2"/>
  <c r="E13" i="2"/>
  <c r="B13" i="2"/>
  <c r="K12" i="2"/>
  <c r="H12" i="2"/>
  <c r="E12" i="2"/>
  <c r="B12" i="2"/>
  <c r="K11" i="2"/>
  <c r="H11" i="2"/>
  <c r="E11" i="2"/>
  <c r="B11" i="2"/>
  <c r="K10" i="2"/>
  <c r="H10" i="2"/>
  <c r="E10" i="2"/>
  <c r="B10" i="2"/>
  <c r="J5" i="2"/>
  <c r="G5" i="2"/>
  <c r="D5" i="2"/>
  <c r="A5" i="2"/>
</calcChain>
</file>

<file path=xl/sharedStrings.xml><?xml version="1.0" encoding="utf-8"?>
<sst xmlns="http://schemas.openxmlformats.org/spreadsheetml/2006/main" count="7550" uniqueCount="63">
  <si>
    <t>Date</t>
  </si>
  <si>
    <t>Region</t>
  </si>
  <si>
    <t>Product</t>
  </si>
  <si>
    <t>Salesperson</t>
  </si>
  <si>
    <t>Units</t>
  </si>
  <si>
    <t>UnitPrice</t>
  </si>
  <si>
    <t>Revenue</t>
  </si>
  <si>
    <t>Month</t>
  </si>
  <si>
    <t>MonthLabel</t>
  </si>
  <si>
    <t>North</t>
  </si>
  <si>
    <t>Monitor</t>
  </si>
  <si>
    <t>Vikram Rao</t>
  </si>
  <si>
    <t>2025-01</t>
  </si>
  <si>
    <t>Jan-25</t>
  </si>
  <si>
    <t>Priya Singh</t>
  </si>
  <si>
    <t>Smartphone</t>
  </si>
  <si>
    <t>Sneha Gupta</t>
  </si>
  <si>
    <t>South</t>
  </si>
  <si>
    <t>Karan Mehta</t>
  </si>
  <si>
    <t>Tablet</t>
  </si>
  <si>
    <t>East</t>
  </si>
  <si>
    <t>Headphones</t>
  </si>
  <si>
    <t>Smartwatch</t>
  </si>
  <si>
    <t>West</t>
  </si>
  <si>
    <t>Divya Nair</t>
  </si>
  <si>
    <t>Laptop</t>
  </si>
  <si>
    <t>Ananya Iyer</t>
  </si>
  <si>
    <t>Rahul Verma</t>
  </si>
  <si>
    <t>Amit Sharma</t>
  </si>
  <si>
    <t>2025-02</t>
  </si>
  <si>
    <t>Feb-25</t>
  </si>
  <si>
    <t>2025-03</t>
  </si>
  <si>
    <t>Mar-25</t>
  </si>
  <si>
    <t>2025-04</t>
  </si>
  <si>
    <t>Apr-25</t>
  </si>
  <si>
    <t>2025-05</t>
  </si>
  <si>
    <t>May-25</t>
  </si>
  <si>
    <t>2025-06</t>
  </si>
  <si>
    <t>Jun-25</t>
  </si>
  <si>
    <t>2025-07</t>
  </si>
  <si>
    <t>Jul-25</t>
  </si>
  <si>
    <t>2025-08</t>
  </si>
  <si>
    <t>Aug-25</t>
  </si>
  <si>
    <t>2025-09</t>
  </si>
  <si>
    <t>Sep-25</t>
  </si>
  <si>
    <t>2025-10</t>
  </si>
  <si>
    <t>Oct-25</t>
  </si>
  <si>
    <t>2025-11</t>
  </si>
  <si>
    <t>Nov-25</t>
  </si>
  <si>
    <t>2025-12</t>
  </si>
  <si>
    <t>Dec-25</t>
  </si>
  <si>
    <t>SALES PERFORMANCE DASHBOARD — FY 2025</t>
  </si>
  <si>
    <t>Total Revenue</t>
  </si>
  <si>
    <t>Total Units Sold</t>
  </si>
  <si>
    <t>Total Transactions</t>
  </si>
  <si>
    <t>Avg Order Value</t>
  </si>
  <si>
    <t>Revenue by Region</t>
  </si>
  <si>
    <t>Revenue by Product</t>
  </si>
  <si>
    <t>Revenue by Salesperson</t>
  </si>
  <si>
    <t>Revenue by Month</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</si>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</sst>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x14ac:knownFonts="1">
    <font>
      <sz val="11"/>
      <color theme="1"/>
      <name val="Calibri"/>
      <family val="2"/>
      <charset val="1"/>
    </font>
    <font>
      <b/>
      <sz val="11"/>
      <color rgb="FFFFFFFF"/>
      <name val="Arial"/>
      <charset val="1"/>
    </font>
    <font>
      <sz val="10"/>
      <name val="Arial"/>
      <charset val="1"/>
    </font>
    <font>
      <b/>
      <sz val="18"/>
      <color rgb="FFFFFFFF"/>
      <name val="Arial"/>
      <charset val="1"/>
    </font>
    <font>
      <b/>
      <sz val="20"/>
      <color rgb="FFFFFFFF"/>
      <name val="Arial"/>
      <charset val="1"/>
    </font>
    <font>
      <b/>
      <sz val="13"/>
      <color rgb="FF1F2937"/>
      <name val="Arial"/>
      <charset val="1"/>
    </font>
    <font>
      <i/>
      <sz val="9"/>
      <color rgb="FF808080"/>
      <name val="Arial"/>
      <charset val="1"/>
    </font>
  </fonts>
  <fills count="7">
    <fill>
      <patternFill patternType="none"/>
    </fill>
    <fill>
      <patternFill patternType="gray125"/>
    </fill>
    <fill>
      <patternFill patternType="solid">
        <fgColor rgb="FF2F5496"/>
        <bgColor rgb="FF0066CC"/>
      </patternFill>
    </fill>
    <fill>
      <patternFill patternType="solid">
        <fgColor rgb="FF1F2937"/>
        <bgColor rgb="FF333300"/>
      </patternFill>
    </fill>
    <fill>
      <patternFill patternType="solid">
        <fgColor rgb="FF548235"/>
        <bgColor rgb="FF339966"/>
      </patternFill>
    </fill>
    <fill>
      <patternFill patternType="solid">
        <fgColor rgb="FFBF8F00"/>
        <bgColor rgb="FFF79646"/>
      </patternFill>
    </fill>
    <fill>
      <patternFill patternType="solid">
        <fgColor rgb="FF833C0C"/>
        <bgColor rgb="FFBE4B48"/>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6" fillId="0" borderId="0" xfId="0" applyFont="1"/>
    <xf numFmtId="3" fontId="4" fillId="6" borderId="0" xfId="0" applyNumberFormat="1" applyFont="1" applyFill="1" applyAlignment="1">
      <alignment horizontal="center" vertical="center"/>
    </xf>
    <xf numFmtId="3" fontId="4" fillId="5" borderId="0" xfId="0" applyNumberFormat="1" applyFont="1" applyFill="1" applyAlignment="1">
      <alignment horizontal="center" vertical="center"/>
    </xf>
    <xf numFmtId="3" fontId="4" fillId="4" borderId="0" xfId="0" applyNumberFormat="1" applyFont="1" applyFill="1" applyAlignment="1">
      <alignment horizontal="center" vertical="center"/>
    </xf>
    <xf numFmtId="3" fontId="4" fillId="2" borderId="0" xfId="0" applyNumberFormat="1" applyFont="1" applyFill="1" applyAlignment="1">
      <alignment horizontal="center" vertical="center"/>
    </xf>
    <xf numFmtId="0" fontId="1" fillId="6" borderId="0" xfId="0" applyFont="1" applyFill="1" applyAlignment="1">
      <alignment horizontal="center" vertical="center"/>
    </xf>
    <xf numFmtId="0" fontId="1" fillId="5" borderId="0" xfId="0" applyFont="1" applyFill="1" applyAlignment="1">
      <alignment horizontal="center" vertical="center"/>
    </xf>
    <xf numFmtId="0" fontId="1" fillId="4" borderId="0" xfId="0" applyFont="1" applyFill="1" applyAlignment="1">
      <alignment horizontal="center" vertical="center"/>
    </xf>
    <xf numFmtId="0" fontId="1" fillId="2" borderId="0" xfId="0" applyFont="1" applyFill="1" applyAlignment="1">
      <alignment horizontal="center" vertical="center"/>
    </xf>
    <xf numFmtId="0" fontId="3" fillId="3" borderId="0" xfId="0" applyFont="1" applyFill="1" applyAlignment="1">
      <alignment horizontal="center" vertical="center"/>
    </xf>
    <xf numFmtId="0" fontId="1" fillId="2" borderId="0" xfId="0" applyFont="1" applyFill="1" applyAlignment="1">
      <alignment horizontal="center" vertical="center"/>
    </xf>
    <xf numFmtId="164" fontId="2" fillId="0" borderId="0" xfId="0" applyNumberFormat="1" applyFont="1"/>
    <xf numFmtId="0" fontId="2" fillId="0" borderId="0" xfId="0" applyFont="1"/>
    <xf numFmtId="3" fontId="2" fillId="0" borderId="0" xfId="0" applyNumberFormat="1" applyFont="1"/>
    <xf numFmtId="0" fontId="5" fillId="0" borderId="0" xfId="0" applyFont="1"/>
    <xf numFmtId="0" fontId="1" fillId="2" borderId="1" xfId="0" applyFont="1" applyFill="1" applyBorder="1"/>
    <xf numFmtId="0" fontId="2" fillId="0" borderId="1" xfId="0" applyFont="1" applyBorder="1"/>
    <xf numFmtId="3" fontId="0" fillId="0" borderId="1" xfId="0" applyNumberFormat="1" applyBorder="1"/>
    <xf numFmtId="0" fontId="0" fillId="0" borderId="2" xfId="0" pivotButton="1" applyBorder="1"/>
    <xf numFmtId="0" fontId="0" fillId="0" borderId="2" xfId="0" applyBorder="1"/>
    <xf numFmtId="0" fontId="0" fillId="0" borderId="2" xfId="0" applyBorder="1" applyAlignment="1">
      <alignment horizontal="left"/>
    </xf>
    <xf numFmtId="3" fontId="0" fillId="0" borderId="2" xfId="0" applyNumberFormat="1" applyBorder="1"/>
  </cellXfs>
  <cellStyles count="1">
    <cellStyle name="Normal" xfId="0" builtinId="0"/>
  </cellStyles>
  <dxfs count="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BE4B48"/>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4BACC6"/>
      <rgbColor rgb="FF9BBB59"/>
      <rgbColor rgb="FFFFCC00"/>
      <rgbColor rgb="FFF79646"/>
      <rgbColor rgb="FFBF8F00"/>
      <rgbColor rgb="FF8064A2"/>
      <rgbColor rgb="FF878787"/>
      <rgbColor rgb="FF003366"/>
      <rgbColor rgb="FF339966"/>
      <rgbColor rgb="FF003300"/>
      <rgbColor rgb="FF333300"/>
      <rgbColor rgb="FF833C0C"/>
      <rgbColor rgb="FFC0504D"/>
      <rgbColor rgb="FF2F5496"/>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by Region</a:t>
            </a:r>
          </a:p>
        </c:rich>
      </c:tx>
      <c:overlay val="0"/>
      <c:spPr>
        <a:noFill/>
        <a:ln w="0">
          <a:noFill/>
        </a:ln>
      </c:spPr>
    </c:title>
    <c:autoTitleDeleted val="0"/>
    <c:plotArea>
      <c:layout/>
      <c:barChart>
        <c:barDir val="col"/>
        <c:grouping val="clustered"/>
        <c:varyColors val="0"/>
        <c:ser>
          <c:idx val="0"/>
          <c:order val="0"/>
          <c:tx>
            <c:strRef>
              <c:f>Dashboard!$B$9</c:f>
              <c:strCache>
                <c:ptCount val="1"/>
                <c:pt idx="0">
                  <c:v>Revenue</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Dashboard!$A$10:$A$13</c:f>
              <c:strCache>
                <c:ptCount val="4"/>
                <c:pt idx="0">
                  <c:v>East</c:v>
                </c:pt>
                <c:pt idx="1">
                  <c:v>North</c:v>
                </c:pt>
                <c:pt idx="2">
                  <c:v>South</c:v>
                </c:pt>
                <c:pt idx="3">
                  <c:v>West</c:v>
                </c:pt>
              </c:strCache>
            </c:strRef>
          </c:cat>
          <c:val>
            <c:numRef>
              <c:f>Dashboard!$B$10:$B$13</c:f>
              <c:numCache>
                <c:formatCode>#,##0</c:formatCode>
                <c:ptCount val="4"/>
                <c:pt idx="0">
                  <c:v>35602461</c:v>
                </c:pt>
                <c:pt idx="1">
                  <c:v>39614277</c:v>
                </c:pt>
                <c:pt idx="2">
                  <c:v>40131457</c:v>
                </c:pt>
                <c:pt idx="3">
                  <c:v>45625003</c:v>
                </c:pt>
              </c:numCache>
            </c:numRef>
          </c:val>
          <c:extLst>
            <c:ext xmlns:c16="http://schemas.microsoft.com/office/drawing/2014/chart" uri="{C3380CC4-5D6E-409C-BE32-E72D297353CC}">
              <c16:uniqueId val="{00000000-CC9C-4700-8F6C-C1D6EC7EE147}"/>
            </c:ext>
          </c:extLst>
        </c:ser>
        <c:dLbls>
          <c:showLegendKey val="0"/>
          <c:showVal val="0"/>
          <c:showCatName val="0"/>
          <c:showSerName val="0"/>
          <c:showPercent val="0"/>
          <c:showBubbleSize val="0"/>
        </c:dLbls>
        <c:gapWidth val="150"/>
        <c:axId val="60173027"/>
        <c:axId val="33746499"/>
      </c:barChart>
      <c:catAx>
        <c:axId val="60173027"/>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Region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746499"/>
        <c:crosses val="autoZero"/>
        <c:auto val="1"/>
        <c:lblAlgn val="ctr"/>
        <c:lblOffset val="100"/>
        <c:noMultiLvlLbl val="0"/>
      </c:catAx>
      <c:valAx>
        <c:axId val="337464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17302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Share by Product</a:t>
            </a:r>
          </a:p>
        </c:rich>
      </c:tx>
      <c:overlay val="0"/>
      <c:spPr>
        <a:noFill/>
        <a:ln w="0">
          <a:noFill/>
        </a:ln>
      </c:spPr>
    </c:title>
    <c:autoTitleDeleted val="0"/>
    <c:plotArea>
      <c:layout/>
      <c:pieChart>
        <c:varyColors val="1"/>
        <c:ser>
          <c:idx val="0"/>
          <c:order val="0"/>
          <c:tx>
            <c:strRef>
              <c:f>Dashboard!$E$9</c:f>
              <c:strCache>
                <c:ptCount val="1"/>
                <c:pt idx="0">
                  <c:v>Revenue</c:v>
                </c:pt>
              </c:strCache>
            </c:strRef>
          </c:tx>
          <c:spPr>
            <a:solidFill>
              <a:srgbClr val="4F81BD"/>
            </a:solidFill>
            <a:ln w="0">
              <a:noFill/>
            </a:ln>
          </c:spPr>
          <c:dPt>
            <c:idx val="0"/>
            <c:bubble3D val="0"/>
            <c:extLst>
              <c:ext xmlns:c16="http://schemas.microsoft.com/office/drawing/2014/chart" uri="{C3380CC4-5D6E-409C-BE32-E72D297353CC}">
                <c16:uniqueId val="{00000001-83AB-4533-9050-5F8CC7C24927}"/>
              </c:ext>
            </c:extLst>
          </c:dPt>
          <c:dPt>
            <c:idx val="1"/>
            <c:bubble3D val="0"/>
            <c:spPr>
              <a:solidFill>
                <a:srgbClr val="C0504D"/>
              </a:solidFill>
              <a:ln w="0">
                <a:noFill/>
              </a:ln>
            </c:spPr>
            <c:extLst>
              <c:ext xmlns:c16="http://schemas.microsoft.com/office/drawing/2014/chart" uri="{C3380CC4-5D6E-409C-BE32-E72D297353CC}">
                <c16:uniqueId val="{00000003-83AB-4533-9050-5F8CC7C24927}"/>
              </c:ext>
            </c:extLst>
          </c:dPt>
          <c:dPt>
            <c:idx val="2"/>
            <c:bubble3D val="0"/>
            <c:spPr>
              <a:solidFill>
                <a:srgbClr val="9BBB59"/>
              </a:solidFill>
              <a:ln w="0">
                <a:noFill/>
              </a:ln>
            </c:spPr>
            <c:extLst>
              <c:ext xmlns:c16="http://schemas.microsoft.com/office/drawing/2014/chart" uri="{C3380CC4-5D6E-409C-BE32-E72D297353CC}">
                <c16:uniqueId val="{00000005-83AB-4533-9050-5F8CC7C24927}"/>
              </c:ext>
            </c:extLst>
          </c:dPt>
          <c:dPt>
            <c:idx val="3"/>
            <c:bubble3D val="0"/>
            <c:spPr>
              <a:solidFill>
                <a:srgbClr val="8064A2"/>
              </a:solidFill>
              <a:ln w="0">
                <a:noFill/>
              </a:ln>
            </c:spPr>
            <c:extLst>
              <c:ext xmlns:c16="http://schemas.microsoft.com/office/drawing/2014/chart" uri="{C3380CC4-5D6E-409C-BE32-E72D297353CC}">
                <c16:uniqueId val="{00000007-83AB-4533-9050-5F8CC7C24927}"/>
              </c:ext>
            </c:extLst>
          </c:dPt>
          <c:dPt>
            <c:idx val="4"/>
            <c:bubble3D val="0"/>
            <c:spPr>
              <a:solidFill>
                <a:srgbClr val="4BACC6"/>
              </a:solidFill>
              <a:ln w="0">
                <a:noFill/>
              </a:ln>
            </c:spPr>
            <c:extLst>
              <c:ext xmlns:c16="http://schemas.microsoft.com/office/drawing/2014/chart" uri="{C3380CC4-5D6E-409C-BE32-E72D297353CC}">
                <c16:uniqueId val="{00000009-83AB-4533-9050-5F8CC7C24927}"/>
              </c:ext>
            </c:extLst>
          </c:dPt>
          <c:dPt>
            <c:idx val="5"/>
            <c:bubble3D val="0"/>
            <c:spPr>
              <a:solidFill>
                <a:srgbClr val="F79646"/>
              </a:solidFill>
              <a:ln w="0">
                <a:noFill/>
              </a:ln>
            </c:spPr>
            <c:extLst>
              <c:ext xmlns:c16="http://schemas.microsoft.com/office/drawing/2014/chart" uri="{C3380CC4-5D6E-409C-BE32-E72D297353CC}">
                <c16:uniqueId val="{0000000B-83AB-4533-9050-5F8CC7C24927}"/>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83AB-4533-9050-5F8CC7C24927}"/>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83AB-4533-9050-5F8CC7C24927}"/>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83AB-4533-9050-5F8CC7C24927}"/>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7-83AB-4533-9050-5F8CC7C24927}"/>
                </c:ext>
              </c:extLst>
            </c:dLbl>
            <c:dLbl>
              <c:idx val="4"/>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9-83AB-4533-9050-5F8CC7C24927}"/>
                </c:ext>
              </c:extLst>
            </c:dLbl>
            <c:dLbl>
              <c:idx val="5"/>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B-83AB-4533-9050-5F8CC7C24927}"/>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Dashboard!$D$10:$D$15</c:f>
              <c:strCache>
                <c:ptCount val="6"/>
                <c:pt idx="0">
                  <c:v>Headphones</c:v>
                </c:pt>
                <c:pt idx="1">
                  <c:v>Laptop</c:v>
                </c:pt>
                <c:pt idx="2">
                  <c:v>Monitor</c:v>
                </c:pt>
                <c:pt idx="3">
                  <c:v>Smartphone</c:v>
                </c:pt>
                <c:pt idx="4">
                  <c:v>Smartwatch</c:v>
                </c:pt>
                <c:pt idx="5">
                  <c:v>Tablet</c:v>
                </c:pt>
              </c:strCache>
            </c:strRef>
          </c:cat>
          <c:val>
            <c:numRef>
              <c:f>Dashboard!$E$10:$E$15</c:f>
              <c:numCache>
                <c:formatCode>#,##0</c:formatCode>
                <c:ptCount val="6"/>
                <c:pt idx="0">
                  <c:v>4838043</c:v>
                </c:pt>
                <c:pt idx="1">
                  <c:v>71613670</c:v>
                </c:pt>
                <c:pt idx="2">
                  <c:v>18164906</c:v>
                </c:pt>
                <c:pt idx="3">
                  <c:v>30763378</c:v>
                </c:pt>
                <c:pt idx="4">
                  <c:v>11605584</c:v>
                </c:pt>
                <c:pt idx="5">
                  <c:v>23987617</c:v>
                </c:pt>
              </c:numCache>
            </c:numRef>
          </c:val>
          <c:extLst>
            <c:ext xmlns:c16="http://schemas.microsoft.com/office/drawing/2014/chart" uri="{C3380CC4-5D6E-409C-BE32-E72D297353CC}">
              <c16:uniqueId val="{0000000C-83AB-4533-9050-5F8CC7C2492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Revenue Trend</a:t>
            </a:r>
          </a:p>
        </c:rich>
      </c:tx>
      <c:overlay val="0"/>
      <c:spPr>
        <a:noFill/>
        <a:ln w="0">
          <a:noFill/>
        </a:ln>
      </c:spPr>
    </c:title>
    <c:autoTitleDeleted val="0"/>
    <c:plotArea>
      <c:layout/>
      <c:lineChart>
        <c:grouping val="standard"/>
        <c:varyColors val="0"/>
        <c:ser>
          <c:idx val="0"/>
          <c:order val="0"/>
          <c:tx>
            <c:strRef>
              <c:f>Dashboard!$K$9</c:f>
              <c:strCache>
                <c:ptCount val="1"/>
                <c:pt idx="0">
                  <c:v>Revenue</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Dashboard!$J$10:$J$21</c:f>
              <c:strCache>
                <c:ptCount val="12"/>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strCache>
            </c:strRef>
          </c:cat>
          <c:val>
            <c:numRef>
              <c:f>Dashboard!$K$10:$K$21</c:f>
              <c:numCache>
                <c:formatCode>#,##0</c:formatCode>
                <c:ptCount val="12"/>
                <c:pt idx="0">
                  <c:v>15034306</c:v>
                </c:pt>
                <c:pt idx="1">
                  <c:v>12668150</c:v>
                </c:pt>
                <c:pt idx="2">
                  <c:v>12469176</c:v>
                </c:pt>
                <c:pt idx="3">
                  <c:v>13640458</c:v>
                </c:pt>
                <c:pt idx="4">
                  <c:v>12557675</c:v>
                </c:pt>
                <c:pt idx="5">
                  <c:v>13314351</c:v>
                </c:pt>
                <c:pt idx="6">
                  <c:v>11858253</c:v>
                </c:pt>
                <c:pt idx="7">
                  <c:v>14753190</c:v>
                </c:pt>
                <c:pt idx="8">
                  <c:v>13974042</c:v>
                </c:pt>
                <c:pt idx="9">
                  <c:v>13698773</c:v>
                </c:pt>
                <c:pt idx="10">
                  <c:v>13067784</c:v>
                </c:pt>
                <c:pt idx="11">
                  <c:v>13937040</c:v>
                </c:pt>
              </c:numCache>
            </c:numRef>
          </c:val>
          <c:smooth val="1"/>
          <c:extLst>
            <c:ext xmlns:c16="http://schemas.microsoft.com/office/drawing/2014/chart" uri="{C3380CC4-5D6E-409C-BE32-E72D297353CC}">
              <c16:uniqueId val="{00000000-21E3-4C4E-8F6F-0EF6B0056611}"/>
            </c:ext>
          </c:extLst>
        </c:ser>
        <c:dLbls>
          <c:showLegendKey val="0"/>
          <c:showVal val="0"/>
          <c:showCatName val="0"/>
          <c:showSerName val="0"/>
          <c:showPercent val="0"/>
          <c:showBubbleSize val="0"/>
        </c:dLbls>
        <c:hiLowLines>
          <c:spPr>
            <a:ln w="0">
              <a:noFill/>
            </a:ln>
          </c:spPr>
        </c:hiLowLines>
        <c:smooth val="0"/>
        <c:axId val="56390709"/>
        <c:axId val="35211192"/>
      </c:lineChart>
      <c:catAx>
        <c:axId val="56390709"/>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211192"/>
        <c:crosses val="autoZero"/>
        <c:auto val="1"/>
        <c:lblAlgn val="ctr"/>
        <c:lblOffset val="100"/>
        <c:noMultiLvlLbl val="0"/>
      </c:catAx>
      <c:valAx>
        <c:axId val="3521119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39070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by Salesperson</a:t>
            </a:r>
          </a:p>
        </c:rich>
      </c:tx>
      <c:overlay val="0"/>
      <c:spPr>
        <a:noFill/>
        <a:ln w="0">
          <a:noFill/>
        </a:ln>
      </c:spPr>
    </c:title>
    <c:autoTitleDeleted val="0"/>
    <c:plotArea>
      <c:layout/>
      <c:barChart>
        <c:barDir val="bar"/>
        <c:grouping val="clustered"/>
        <c:varyColors val="0"/>
        <c:ser>
          <c:idx val="0"/>
          <c:order val="0"/>
          <c:tx>
            <c:strRef>
              <c:f>Dashboard!$H$9</c:f>
              <c:strCache>
                <c:ptCount val="1"/>
                <c:pt idx="0">
                  <c:v>Revenue</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Dashboard!$G$10:$G$17</c:f>
              <c:strCache>
                <c:ptCount val="8"/>
                <c:pt idx="0">
                  <c:v>Amit Sharma</c:v>
                </c:pt>
                <c:pt idx="1">
                  <c:v>Ananya Iyer</c:v>
                </c:pt>
                <c:pt idx="2">
                  <c:v>Divya Nair</c:v>
                </c:pt>
                <c:pt idx="3">
                  <c:v>Karan Mehta</c:v>
                </c:pt>
                <c:pt idx="4">
                  <c:v>Priya Singh</c:v>
                </c:pt>
                <c:pt idx="5">
                  <c:v>Rahul Verma</c:v>
                </c:pt>
                <c:pt idx="6">
                  <c:v>Sneha Gupta</c:v>
                </c:pt>
                <c:pt idx="7">
                  <c:v>Vikram Rao</c:v>
                </c:pt>
              </c:strCache>
            </c:strRef>
          </c:cat>
          <c:val>
            <c:numRef>
              <c:f>Dashboard!$H$10:$H$17</c:f>
              <c:numCache>
                <c:formatCode>#,##0</c:formatCode>
                <c:ptCount val="8"/>
                <c:pt idx="0">
                  <c:v>17924875</c:v>
                </c:pt>
                <c:pt idx="1">
                  <c:v>17304614</c:v>
                </c:pt>
                <c:pt idx="2">
                  <c:v>21983717</c:v>
                </c:pt>
                <c:pt idx="3">
                  <c:v>19879609</c:v>
                </c:pt>
                <c:pt idx="4">
                  <c:v>18037441</c:v>
                </c:pt>
                <c:pt idx="5">
                  <c:v>16592380</c:v>
                </c:pt>
                <c:pt idx="6">
                  <c:v>24026391</c:v>
                </c:pt>
                <c:pt idx="7">
                  <c:v>25224171</c:v>
                </c:pt>
              </c:numCache>
            </c:numRef>
          </c:val>
          <c:extLst>
            <c:ext xmlns:c16="http://schemas.microsoft.com/office/drawing/2014/chart" uri="{C3380CC4-5D6E-409C-BE32-E72D297353CC}">
              <c16:uniqueId val="{00000000-5816-410C-AA98-CCFB379AFAD9}"/>
            </c:ext>
          </c:extLst>
        </c:ser>
        <c:dLbls>
          <c:showLegendKey val="0"/>
          <c:showVal val="0"/>
          <c:showCatName val="0"/>
          <c:showSerName val="0"/>
          <c:showPercent val="0"/>
          <c:showBubbleSize val="0"/>
        </c:dLbls>
        <c:gapWidth val="150"/>
        <c:axId val="24393690"/>
        <c:axId val="43453039"/>
      </c:barChart>
      <c:catAx>
        <c:axId val="24393690"/>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453039"/>
        <c:crosses val="autoZero"/>
        <c:auto val="1"/>
        <c:lblAlgn val="ctr"/>
        <c:lblOffset val="100"/>
        <c:noMultiLvlLbl val="0"/>
      </c:catAx>
      <c:valAx>
        <c:axId val="43453039"/>
        <c:scaling>
          <c:orientation val="minMax"/>
        </c:scaling>
        <c:delete val="0"/>
        <c:axPos val="b"/>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39369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175680</xdr:rowOff>
    </xdr:from>
    <xdr:to>
      <xdr:col>7</xdr:col>
      <xdr:colOff>113400</xdr:colOff>
      <xdr:row>38</xdr:row>
      <xdr:rowOff>7560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22</xdr:row>
      <xdr:rowOff>175680</xdr:rowOff>
    </xdr:from>
    <xdr:to>
      <xdr:col>14</xdr:col>
      <xdr:colOff>88560</xdr:colOff>
      <xdr:row>38</xdr:row>
      <xdr:rowOff>7560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39</xdr:row>
      <xdr:rowOff>176040</xdr:rowOff>
    </xdr:from>
    <xdr:to>
      <xdr:col>7</xdr:col>
      <xdr:colOff>113400</xdr:colOff>
      <xdr:row>55</xdr:row>
      <xdr:rowOff>7560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39</xdr:row>
      <xdr:rowOff>176040</xdr:rowOff>
    </xdr:from>
    <xdr:to>
      <xdr:col>14</xdr:col>
      <xdr:colOff>88560</xdr:colOff>
      <xdr:row>55</xdr:row>
      <xdr:rowOff>7560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601980</xdr:colOff>
      <xdr:row>2</xdr:row>
      <xdr:rowOff>0</xdr:rowOff>
    </xdr:from>
    <xdr:to>
      <xdr:col>5</xdr:col>
      <xdr:colOff>601980</xdr:colOff>
      <xdr:row>15</xdr:row>
      <xdr:rowOff>89535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1CEEA3F-837B-668D-FF9D-C75A41132A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8412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2</xdr:row>
      <xdr:rowOff>0</xdr:rowOff>
    </xdr:from>
    <xdr:to>
      <xdr:col>9</xdr:col>
      <xdr:colOff>15240</xdr:colOff>
      <xdr:row>15</xdr:row>
      <xdr:rowOff>89535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774B527D-2D67-917E-572D-95799CE4A3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33578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xdr:colOff>
      <xdr:row>1</xdr:row>
      <xdr:rowOff>175260</xdr:rowOff>
    </xdr:from>
    <xdr:to>
      <xdr:col>12</xdr:col>
      <xdr:colOff>30480</xdr:colOff>
      <xdr:row>15</xdr:row>
      <xdr:rowOff>81915</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FA799888-61FE-7EF7-A18A-BF7066D1071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17982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2</xdr:row>
      <xdr:rowOff>0</xdr:rowOff>
    </xdr:from>
    <xdr:to>
      <xdr:col>15</xdr:col>
      <xdr:colOff>76200</xdr:colOff>
      <xdr:row>15</xdr:row>
      <xdr:rowOff>89535</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2EE0A6BA-6218-E088-B0B9-88DAE9BD28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0543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Nishar Alam" refreshedDate="46229.905528124997" createdVersion="8" refreshedVersion="8" minRefreshableVersion="3" recordCount="1497" xr:uid="{725FF9CE-9AB3-4F1E-B3B1-6877CCE85DEF}">
  <cacheSource type="worksheet">
    <worksheetSource name="SalesData"/>
  </cacheSource>
  <cacheFields count="9">
    <cacheField name="Date" numFmtId="164">
      <sharedItems containsSemiMixedTypes="0" containsNonDate="0" containsDate="1" containsString="0" minDate="2025-01-01T00:00:00" maxDate="2026-01-01T00:00:00"/>
    </cacheField>
    <cacheField name="Region" numFmtId="0">
      <sharedItems count="4">
        <s v="North"/>
        <s v="South"/>
        <s v="East"/>
        <s v="West"/>
      </sharedItems>
    </cacheField>
    <cacheField name="Product" numFmtId="0">
      <sharedItems count="6">
        <s v="Monitor"/>
        <s v="Smartphone"/>
        <s v="Tablet"/>
        <s v="Headphones"/>
        <s v="Smartwatch"/>
        <s v="Laptop"/>
      </sharedItems>
    </cacheField>
    <cacheField name="Salesperson" numFmtId="0">
      <sharedItems count="8">
        <s v="Vikram Rao"/>
        <s v="Priya Singh"/>
        <s v="Sneha Gupta"/>
        <s v="Karan Mehta"/>
        <s v="Divya Nair"/>
        <s v="Ananya Iyer"/>
        <s v="Rahul Verma"/>
        <s v="Amit Sharma"/>
      </sharedItems>
    </cacheField>
    <cacheField name="Units" numFmtId="0">
      <sharedItems containsSemiMixedTypes="0" containsString="0" containsNumber="1" containsInteger="1" minValue="1" maxValue="10"/>
    </cacheField>
    <cacheField name="UnitPrice" numFmtId="3">
      <sharedItems containsSemiMixedTypes="0" containsString="0" containsNumber="1" containsInteger="1" minValue="3327" maxValue="57741"/>
    </cacheField>
    <cacheField name="Revenue" numFmtId="3">
      <sharedItems containsSemiMixedTypes="0" containsString="0" containsNumber="1" containsInteger="1" minValue="3357" maxValue="577410"/>
    </cacheField>
    <cacheField name="Month" numFmtId="0">
      <sharedItems count="12">
        <s v="2025-01"/>
        <s v="2025-02"/>
        <s v="2025-03"/>
        <s v="2025-04"/>
        <s v="2025-05"/>
        <s v="2025-06"/>
        <s v="2025-07"/>
        <s v="2025-08"/>
        <s v="2025-09"/>
        <s v="2025-10"/>
        <s v="2025-11"/>
        <s v="2025-12"/>
      </sharedItems>
    </cacheField>
    <cacheField name="MonthLabel" numFmtId="0">
      <sharedItems/>
    </cacheField>
  </cacheFields>
  <extLst>
    <ext xmlns:x14="http://schemas.microsoft.com/office/spreadsheetml/2009/9/main" uri="{725AE2AE-9491-48be-B2B4-4EB974FC3084}">
      <x14:pivotCacheDefinition pivotCacheId="690175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7">
  <r>
    <d v="2025-01-01T00:00:00"/>
    <x v="0"/>
    <x v="0"/>
    <x v="0"/>
    <n v="4"/>
    <n v="11667"/>
    <n v="46668"/>
    <x v="0"/>
    <s v="Jan-25"/>
  </r>
  <r>
    <d v="2025-01-01T00:00:00"/>
    <x v="0"/>
    <x v="0"/>
    <x v="1"/>
    <n v="10"/>
    <n v="11906"/>
    <n v="119060"/>
    <x v="0"/>
    <s v="Jan-25"/>
  </r>
  <r>
    <d v="2025-01-02T00:00:00"/>
    <x v="0"/>
    <x v="1"/>
    <x v="2"/>
    <n v="9"/>
    <n v="22224"/>
    <n v="200016"/>
    <x v="0"/>
    <s v="Jan-25"/>
  </r>
  <r>
    <d v="2025-01-02T00:00:00"/>
    <x v="1"/>
    <x v="0"/>
    <x v="3"/>
    <n v="4"/>
    <n v="11939"/>
    <n v="47756"/>
    <x v="0"/>
    <s v="Jan-25"/>
  </r>
  <r>
    <d v="2025-01-03T00:00:00"/>
    <x v="0"/>
    <x v="1"/>
    <x v="3"/>
    <n v="6"/>
    <n v="21511"/>
    <n v="129066"/>
    <x v="0"/>
    <s v="Jan-25"/>
  </r>
  <r>
    <d v="2025-01-03T00:00:00"/>
    <x v="1"/>
    <x v="2"/>
    <x v="1"/>
    <n v="2"/>
    <n v="17783"/>
    <n v="35566"/>
    <x v="0"/>
    <s v="Jan-25"/>
  </r>
  <r>
    <d v="2025-01-03T00:00:00"/>
    <x v="2"/>
    <x v="2"/>
    <x v="0"/>
    <n v="1"/>
    <n v="18413"/>
    <n v="18413"/>
    <x v="0"/>
    <s v="Jan-25"/>
  </r>
  <r>
    <d v="2025-01-03T00:00:00"/>
    <x v="0"/>
    <x v="3"/>
    <x v="1"/>
    <n v="9"/>
    <n v="3427"/>
    <n v="30843"/>
    <x v="0"/>
    <s v="Jan-25"/>
  </r>
  <r>
    <d v="2025-01-04T00:00:00"/>
    <x v="2"/>
    <x v="4"/>
    <x v="2"/>
    <n v="2"/>
    <n v="7636"/>
    <n v="15272"/>
    <x v="0"/>
    <s v="Jan-25"/>
  </r>
  <r>
    <d v="2025-01-04T00:00:00"/>
    <x v="1"/>
    <x v="2"/>
    <x v="1"/>
    <n v="4"/>
    <n v="18659"/>
    <n v="74636"/>
    <x v="0"/>
    <s v="Jan-25"/>
  </r>
  <r>
    <d v="2025-01-04T00:00:00"/>
    <x v="3"/>
    <x v="2"/>
    <x v="4"/>
    <n v="6"/>
    <n v="17392"/>
    <n v="104352"/>
    <x v="0"/>
    <s v="Jan-25"/>
  </r>
  <r>
    <d v="2025-01-04T00:00:00"/>
    <x v="2"/>
    <x v="1"/>
    <x v="0"/>
    <n v="2"/>
    <n v="22240"/>
    <n v="44480"/>
    <x v="0"/>
    <s v="Jan-25"/>
  </r>
  <r>
    <d v="2025-01-04T00:00:00"/>
    <x v="1"/>
    <x v="4"/>
    <x v="2"/>
    <n v="3"/>
    <n v="7969"/>
    <n v="23907"/>
    <x v="0"/>
    <s v="Jan-25"/>
  </r>
  <r>
    <d v="2025-01-04T00:00:00"/>
    <x v="2"/>
    <x v="0"/>
    <x v="2"/>
    <n v="6"/>
    <n v="12411"/>
    <n v="74466"/>
    <x v="0"/>
    <s v="Jan-25"/>
  </r>
  <r>
    <d v="2025-01-05T00:00:00"/>
    <x v="1"/>
    <x v="5"/>
    <x v="5"/>
    <n v="7"/>
    <n v="53722"/>
    <n v="376054"/>
    <x v="0"/>
    <s v="Jan-25"/>
  </r>
  <r>
    <d v="2025-01-05T00:00:00"/>
    <x v="1"/>
    <x v="4"/>
    <x v="5"/>
    <n v="4"/>
    <n v="8124"/>
    <n v="32496"/>
    <x v="0"/>
    <s v="Jan-25"/>
  </r>
  <r>
    <d v="2025-01-06T00:00:00"/>
    <x v="3"/>
    <x v="1"/>
    <x v="0"/>
    <n v="3"/>
    <n v="21442"/>
    <n v="64326"/>
    <x v="0"/>
    <s v="Jan-25"/>
  </r>
  <r>
    <d v="2025-01-06T00:00:00"/>
    <x v="2"/>
    <x v="0"/>
    <x v="3"/>
    <n v="10"/>
    <n v="11879"/>
    <n v="118790"/>
    <x v="0"/>
    <s v="Jan-25"/>
  </r>
  <r>
    <d v="2025-01-06T00:00:00"/>
    <x v="1"/>
    <x v="1"/>
    <x v="4"/>
    <n v="2"/>
    <n v="22562"/>
    <n v="45124"/>
    <x v="0"/>
    <s v="Jan-25"/>
  </r>
  <r>
    <d v="2025-01-06T00:00:00"/>
    <x v="0"/>
    <x v="1"/>
    <x v="6"/>
    <n v="7"/>
    <n v="22212"/>
    <n v="155484"/>
    <x v="0"/>
    <s v="Jan-25"/>
  </r>
  <r>
    <d v="2025-01-06T00:00:00"/>
    <x v="3"/>
    <x v="3"/>
    <x v="4"/>
    <n v="9"/>
    <n v="3412"/>
    <n v="30708"/>
    <x v="0"/>
    <s v="Jan-25"/>
  </r>
  <r>
    <d v="2025-01-07T00:00:00"/>
    <x v="0"/>
    <x v="0"/>
    <x v="1"/>
    <n v="9"/>
    <n v="12301"/>
    <n v="110709"/>
    <x v="0"/>
    <s v="Jan-25"/>
  </r>
  <r>
    <d v="2025-01-07T00:00:00"/>
    <x v="2"/>
    <x v="5"/>
    <x v="0"/>
    <n v="7"/>
    <n v="53119"/>
    <n v="371833"/>
    <x v="0"/>
    <s v="Jan-25"/>
  </r>
  <r>
    <d v="2025-01-07T00:00:00"/>
    <x v="0"/>
    <x v="0"/>
    <x v="0"/>
    <n v="9"/>
    <n v="12314"/>
    <n v="110826"/>
    <x v="0"/>
    <s v="Jan-25"/>
  </r>
  <r>
    <d v="2025-01-07T00:00:00"/>
    <x v="0"/>
    <x v="0"/>
    <x v="0"/>
    <n v="9"/>
    <n v="12130"/>
    <n v="109170"/>
    <x v="0"/>
    <s v="Jan-25"/>
  </r>
  <r>
    <d v="2025-01-07T00:00:00"/>
    <x v="1"/>
    <x v="2"/>
    <x v="6"/>
    <n v="9"/>
    <n v="18816"/>
    <n v="169344"/>
    <x v="0"/>
    <s v="Jan-25"/>
  </r>
  <r>
    <d v="2025-01-07T00:00:00"/>
    <x v="0"/>
    <x v="4"/>
    <x v="5"/>
    <n v="8"/>
    <n v="7615"/>
    <n v="60920"/>
    <x v="0"/>
    <s v="Jan-25"/>
  </r>
  <r>
    <d v="2025-01-08T00:00:00"/>
    <x v="2"/>
    <x v="1"/>
    <x v="7"/>
    <n v="4"/>
    <n v="22831"/>
    <n v="91324"/>
    <x v="0"/>
    <s v="Jan-25"/>
  </r>
  <r>
    <d v="2025-01-08T00:00:00"/>
    <x v="0"/>
    <x v="5"/>
    <x v="4"/>
    <n v="2"/>
    <n v="57628"/>
    <n v="115256"/>
    <x v="0"/>
    <s v="Jan-25"/>
  </r>
  <r>
    <d v="2025-01-08T00:00:00"/>
    <x v="1"/>
    <x v="1"/>
    <x v="4"/>
    <n v="9"/>
    <n v="21263"/>
    <n v="191367"/>
    <x v="0"/>
    <s v="Jan-25"/>
  </r>
  <r>
    <d v="2025-01-08T00:00:00"/>
    <x v="3"/>
    <x v="1"/>
    <x v="2"/>
    <n v="5"/>
    <n v="21777"/>
    <n v="108885"/>
    <x v="0"/>
    <s v="Jan-25"/>
  </r>
  <r>
    <d v="2025-01-09T00:00:00"/>
    <x v="3"/>
    <x v="4"/>
    <x v="4"/>
    <n v="2"/>
    <n v="7798"/>
    <n v="15596"/>
    <x v="0"/>
    <s v="Jan-25"/>
  </r>
  <r>
    <d v="2025-01-09T00:00:00"/>
    <x v="0"/>
    <x v="2"/>
    <x v="7"/>
    <n v="10"/>
    <n v="18097"/>
    <n v="180970"/>
    <x v="0"/>
    <s v="Jan-25"/>
  </r>
  <r>
    <d v="2025-01-09T00:00:00"/>
    <x v="1"/>
    <x v="5"/>
    <x v="1"/>
    <n v="1"/>
    <n v="53509"/>
    <n v="53509"/>
    <x v="0"/>
    <s v="Jan-25"/>
  </r>
  <r>
    <d v="2025-01-09T00:00:00"/>
    <x v="0"/>
    <x v="2"/>
    <x v="1"/>
    <n v="9"/>
    <n v="17528"/>
    <n v="157752"/>
    <x v="0"/>
    <s v="Jan-25"/>
  </r>
  <r>
    <d v="2025-01-10T00:00:00"/>
    <x v="1"/>
    <x v="4"/>
    <x v="6"/>
    <n v="10"/>
    <n v="8060"/>
    <n v="80600"/>
    <x v="0"/>
    <s v="Jan-25"/>
  </r>
  <r>
    <d v="2025-01-10T00:00:00"/>
    <x v="1"/>
    <x v="3"/>
    <x v="3"/>
    <n v="4"/>
    <n v="3358"/>
    <n v="13432"/>
    <x v="0"/>
    <s v="Jan-25"/>
  </r>
  <r>
    <d v="2025-01-10T00:00:00"/>
    <x v="3"/>
    <x v="2"/>
    <x v="3"/>
    <n v="7"/>
    <n v="17940"/>
    <n v="125580"/>
    <x v="0"/>
    <s v="Jan-25"/>
  </r>
  <r>
    <d v="2025-01-10T00:00:00"/>
    <x v="0"/>
    <x v="0"/>
    <x v="1"/>
    <n v="1"/>
    <n v="11883"/>
    <n v="11883"/>
    <x v="0"/>
    <s v="Jan-25"/>
  </r>
  <r>
    <d v="2025-01-10T00:00:00"/>
    <x v="2"/>
    <x v="5"/>
    <x v="2"/>
    <n v="4"/>
    <n v="53296"/>
    <n v="213184"/>
    <x v="0"/>
    <s v="Jan-25"/>
  </r>
  <r>
    <d v="2025-01-11T00:00:00"/>
    <x v="1"/>
    <x v="3"/>
    <x v="6"/>
    <n v="5"/>
    <n v="3486"/>
    <n v="17430"/>
    <x v="0"/>
    <s v="Jan-25"/>
  </r>
  <r>
    <d v="2025-01-11T00:00:00"/>
    <x v="0"/>
    <x v="3"/>
    <x v="1"/>
    <n v="1"/>
    <n v="3553"/>
    <n v="3553"/>
    <x v="0"/>
    <s v="Jan-25"/>
  </r>
  <r>
    <d v="2025-01-11T00:00:00"/>
    <x v="0"/>
    <x v="5"/>
    <x v="2"/>
    <n v="3"/>
    <n v="54485"/>
    <n v="163455"/>
    <x v="0"/>
    <s v="Jan-25"/>
  </r>
  <r>
    <d v="2025-01-11T00:00:00"/>
    <x v="3"/>
    <x v="1"/>
    <x v="3"/>
    <n v="1"/>
    <n v="21262"/>
    <n v="21262"/>
    <x v="0"/>
    <s v="Jan-25"/>
  </r>
  <r>
    <d v="2025-01-11T00:00:00"/>
    <x v="0"/>
    <x v="3"/>
    <x v="0"/>
    <n v="8"/>
    <n v="3424"/>
    <n v="27392"/>
    <x v="0"/>
    <s v="Jan-25"/>
  </r>
  <r>
    <d v="2025-01-12T00:00:00"/>
    <x v="3"/>
    <x v="1"/>
    <x v="2"/>
    <n v="5"/>
    <n v="21378"/>
    <n v="106890"/>
    <x v="0"/>
    <s v="Jan-25"/>
  </r>
  <r>
    <d v="2025-01-12T00:00:00"/>
    <x v="0"/>
    <x v="4"/>
    <x v="7"/>
    <n v="6"/>
    <n v="7645"/>
    <n v="45870"/>
    <x v="0"/>
    <s v="Jan-25"/>
  </r>
  <r>
    <d v="2025-01-12T00:00:00"/>
    <x v="3"/>
    <x v="4"/>
    <x v="6"/>
    <n v="1"/>
    <n v="8368"/>
    <n v="8368"/>
    <x v="0"/>
    <s v="Jan-25"/>
  </r>
  <r>
    <d v="2025-01-12T00:00:00"/>
    <x v="0"/>
    <x v="1"/>
    <x v="1"/>
    <n v="10"/>
    <n v="21049"/>
    <n v="210490"/>
    <x v="0"/>
    <s v="Jan-25"/>
  </r>
  <r>
    <d v="2025-01-12T00:00:00"/>
    <x v="1"/>
    <x v="3"/>
    <x v="1"/>
    <n v="10"/>
    <n v="3411"/>
    <n v="34110"/>
    <x v="0"/>
    <s v="Jan-25"/>
  </r>
  <r>
    <d v="2025-01-12T00:00:00"/>
    <x v="0"/>
    <x v="4"/>
    <x v="1"/>
    <n v="7"/>
    <n v="8125"/>
    <n v="56875"/>
    <x v="0"/>
    <s v="Jan-25"/>
  </r>
  <r>
    <d v="2025-01-13T00:00:00"/>
    <x v="2"/>
    <x v="2"/>
    <x v="2"/>
    <n v="6"/>
    <n v="17529"/>
    <n v="105174"/>
    <x v="0"/>
    <s v="Jan-25"/>
  </r>
  <r>
    <d v="2025-01-13T00:00:00"/>
    <x v="3"/>
    <x v="1"/>
    <x v="0"/>
    <n v="8"/>
    <n v="21595"/>
    <n v="172760"/>
    <x v="0"/>
    <s v="Jan-25"/>
  </r>
  <r>
    <d v="2025-01-13T00:00:00"/>
    <x v="0"/>
    <x v="5"/>
    <x v="4"/>
    <n v="10"/>
    <n v="57741"/>
    <n v="577410"/>
    <x v="0"/>
    <s v="Jan-25"/>
  </r>
  <r>
    <d v="2025-01-13T00:00:00"/>
    <x v="0"/>
    <x v="5"/>
    <x v="2"/>
    <n v="9"/>
    <n v="53708"/>
    <n v="483372"/>
    <x v="0"/>
    <s v="Jan-25"/>
  </r>
  <r>
    <d v="2025-01-13T00:00:00"/>
    <x v="2"/>
    <x v="5"/>
    <x v="2"/>
    <n v="6"/>
    <n v="53817"/>
    <n v="322902"/>
    <x v="0"/>
    <s v="Jan-25"/>
  </r>
  <r>
    <d v="2025-01-13T00:00:00"/>
    <x v="3"/>
    <x v="4"/>
    <x v="0"/>
    <n v="10"/>
    <n v="8387"/>
    <n v="83870"/>
    <x v="0"/>
    <s v="Jan-25"/>
  </r>
  <r>
    <d v="2025-01-14T00:00:00"/>
    <x v="0"/>
    <x v="0"/>
    <x v="0"/>
    <n v="2"/>
    <n v="12526"/>
    <n v="25052"/>
    <x v="0"/>
    <s v="Jan-25"/>
  </r>
  <r>
    <d v="2025-01-14T00:00:00"/>
    <x v="1"/>
    <x v="2"/>
    <x v="1"/>
    <n v="2"/>
    <n v="18436"/>
    <n v="36872"/>
    <x v="0"/>
    <s v="Jan-25"/>
  </r>
  <r>
    <d v="2025-01-14T00:00:00"/>
    <x v="1"/>
    <x v="2"/>
    <x v="0"/>
    <n v="10"/>
    <n v="17479"/>
    <n v="174790"/>
    <x v="0"/>
    <s v="Jan-25"/>
  </r>
  <r>
    <d v="2025-01-14T00:00:00"/>
    <x v="2"/>
    <x v="1"/>
    <x v="0"/>
    <n v="9"/>
    <n v="21974"/>
    <n v="197766"/>
    <x v="0"/>
    <s v="Jan-25"/>
  </r>
  <r>
    <d v="2025-01-14T00:00:00"/>
    <x v="0"/>
    <x v="5"/>
    <x v="3"/>
    <n v="5"/>
    <n v="52492"/>
    <n v="262460"/>
    <x v="0"/>
    <s v="Jan-25"/>
  </r>
  <r>
    <d v="2025-01-14T00:00:00"/>
    <x v="2"/>
    <x v="1"/>
    <x v="0"/>
    <n v="3"/>
    <n v="22530"/>
    <n v="67590"/>
    <x v="0"/>
    <s v="Jan-25"/>
  </r>
  <r>
    <d v="2025-01-15T00:00:00"/>
    <x v="3"/>
    <x v="4"/>
    <x v="7"/>
    <n v="2"/>
    <n v="7660"/>
    <n v="15320"/>
    <x v="0"/>
    <s v="Jan-25"/>
  </r>
  <r>
    <d v="2025-01-15T00:00:00"/>
    <x v="1"/>
    <x v="4"/>
    <x v="7"/>
    <n v="6"/>
    <n v="8066"/>
    <n v="48396"/>
    <x v="0"/>
    <s v="Jan-25"/>
  </r>
  <r>
    <d v="2025-01-15T00:00:00"/>
    <x v="1"/>
    <x v="3"/>
    <x v="6"/>
    <n v="1"/>
    <n v="3432"/>
    <n v="3432"/>
    <x v="0"/>
    <s v="Jan-25"/>
  </r>
  <r>
    <d v="2025-01-15T00:00:00"/>
    <x v="0"/>
    <x v="2"/>
    <x v="2"/>
    <n v="4"/>
    <n v="18300"/>
    <n v="73200"/>
    <x v="0"/>
    <s v="Jan-25"/>
  </r>
  <r>
    <d v="2025-01-15T00:00:00"/>
    <x v="2"/>
    <x v="4"/>
    <x v="3"/>
    <n v="10"/>
    <n v="8199"/>
    <n v="81990"/>
    <x v="0"/>
    <s v="Jan-25"/>
  </r>
  <r>
    <d v="2025-01-15T00:00:00"/>
    <x v="1"/>
    <x v="1"/>
    <x v="6"/>
    <n v="7"/>
    <n v="20954"/>
    <n v="146678"/>
    <x v="0"/>
    <s v="Jan-25"/>
  </r>
  <r>
    <d v="2025-01-16T00:00:00"/>
    <x v="3"/>
    <x v="0"/>
    <x v="2"/>
    <n v="5"/>
    <n v="11591"/>
    <n v="57955"/>
    <x v="0"/>
    <s v="Jan-25"/>
  </r>
  <r>
    <d v="2025-01-16T00:00:00"/>
    <x v="0"/>
    <x v="3"/>
    <x v="7"/>
    <n v="8"/>
    <n v="3402"/>
    <n v="27216"/>
    <x v="0"/>
    <s v="Jan-25"/>
  </r>
  <r>
    <d v="2025-01-16T00:00:00"/>
    <x v="3"/>
    <x v="2"/>
    <x v="0"/>
    <n v="4"/>
    <n v="17501"/>
    <n v="70004"/>
    <x v="0"/>
    <s v="Jan-25"/>
  </r>
  <r>
    <d v="2025-01-16T00:00:00"/>
    <x v="1"/>
    <x v="3"/>
    <x v="5"/>
    <n v="5"/>
    <n v="3627"/>
    <n v="18135"/>
    <x v="0"/>
    <s v="Jan-25"/>
  </r>
  <r>
    <d v="2025-01-17T00:00:00"/>
    <x v="2"/>
    <x v="0"/>
    <x v="3"/>
    <n v="9"/>
    <n v="11797"/>
    <n v="106173"/>
    <x v="0"/>
    <s v="Jan-25"/>
  </r>
  <r>
    <d v="2025-01-17T00:00:00"/>
    <x v="0"/>
    <x v="5"/>
    <x v="0"/>
    <n v="3"/>
    <n v="55443"/>
    <n v="166329"/>
    <x v="0"/>
    <s v="Jan-25"/>
  </r>
  <r>
    <d v="2025-01-17T00:00:00"/>
    <x v="2"/>
    <x v="5"/>
    <x v="1"/>
    <n v="10"/>
    <n v="54640"/>
    <n v="546400"/>
    <x v="0"/>
    <s v="Jan-25"/>
  </r>
  <r>
    <d v="2025-01-17T00:00:00"/>
    <x v="2"/>
    <x v="3"/>
    <x v="1"/>
    <n v="7"/>
    <n v="3639"/>
    <n v="25473"/>
    <x v="0"/>
    <s v="Jan-25"/>
  </r>
  <r>
    <d v="2025-01-18T00:00:00"/>
    <x v="2"/>
    <x v="5"/>
    <x v="3"/>
    <n v="1"/>
    <n v="55109"/>
    <n v="55109"/>
    <x v="0"/>
    <s v="Jan-25"/>
  </r>
  <r>
    <d v="2025-01-18T00:00:00"/>
    <x v="1"/>
    <x v="2"/>
    <x v="3"/>
    <n v="2"/>
    <n v="18807"/>
    <n v="37614"/>
    <x v="0"/>
    <s v="Jan-25"/>
  </r>
  <r>
    <d v="2025-01-18T00:00:00"/>
    <x v="2"/>
    <x v="4"/>
    <x v="5"/>
    <n v="2"/>
    <n v="8175"/>
    <n v="16350"/>
    <x v="0"/>
    <s v="Jan-25"/>
  </r>
  <r>
    <d v="2025-01-19T00:00:00"/>
    <x v="2"/>
    <x v="0"/>
    <x v="3"/>
    <n v="6"/>
    <n v="11882"/>
    <n v="71292"/>
    <x v="0"/>
    <s v="Jan-25"/>
  </r>
  <r>
    <d v="2025-01-19T00:00:00"/>
    <x v="2"/>
    <x v="4"/>
    <x v="6"/>
    <n v="4"/>
    <n v="7936"/>
    <n v="31744"/>
    <x v="0"/>
    <s v="Jan-25"/>
  </r>
  <r>
    <d v="2025-01-19T00:00:00"/>
    <x v="3"/>
    <x v="0"/>
    <x v="6"/>
    <n v="10"/>
    <n v="12082"/>
    <n v="120820"/>
    <x v="0"/>
    <s v="Jan-25"/>
  </r>
  <r>
    <d v="2025-01-19T00:00:00"/>
    <x v="3"/>
    <x v="4"/>
    <x v="7"/>
    <n v="5"/>
    <n v="7829"/>
    <n v="39145"/>
    <x v="0"/>
    <s v="Jan-25"/>
  </r>
  <r>
    <d v="2025-01-20T00:00:00"/>
    <x v="2"/>
    <x v="3"/>
    <x v="4"/>
    <n v="8"/>
    <n v="3561"/>
    <n v="28488"/>
    <x v="0"/>
    <s v="Jan-25"/>
  </r>
  <r>
    <d v="2025-01-20T00:00:00"/>
    <x v="3"/>
    <x v="0"/>
    <x v="6"/>
    <n v="2"/>
    <n v="11740"/>
    <n v="23480"/>
    <x v="0"/>
    <s v="Jan-25"/>
  </r>
  <r>
    <d v="2025-01-20T00:00:00"/>
    <x v="2"/>
    <x v="5"/>
    <x v="2"/>
    <n v="5"/>
    <n v="53485"/>
    <n v="267425"/>
    <x v="0"/>
    <s v="Jan-25"/>
  </r>
  <r>
    <d v="2025-01-20T00:00:00"/>
    <x v="1"/>
    <x v="1"/>
    <x v="7"/>
    <n v="1"/>
    <n v="21438"/>
    <n v="21438"/>
    <x v="0"/>
    <s v="Jan-25"/>
  </r>
  <r>
    <d v="2025-01-20T00:00:00"/>
    <x v="3"/>
    <x v="4"/>
    <x v="1"/>
    <n v="8"/>
    <n v="7931"/>
    <n v="63448"/>
    <x v="0"/>
    <s v="Jan-25"/>
  </r>
  <r>
    <d v="2025-01-21T00:00:00"/>
    <x v="1"/>
    <x v="0"/>
    <x v="3"/>
    <n v="8"/>
    <n v="11879"/>
    <n v="95032"/>
    <x v="0"/>
    <s v="Jan-25"/>
  </r>
  <r>
    <d v="2025-01-21T00:00:00"/>
    <x v="1"/>
    <x v="0"/>
    <x v="7"/>
    <n v="2"/>
    <n v="12334"/>
    <n v="24668"/>
    <x v="0"/>
    <s v="Jan-25"/>
  </r>
  <r>
    <d v="2025-01-21T00:00:00"/>
    <x v="1"/>
    <x v="1"/>
    <x v="4"/>
    <n v="1"/>
    <n v="22126"/>
    <n v="22126"/>
    <x v="0"/>
    <s v="Jan-25"/>
  </r>
  <r>
    <d v="2025-01-21T00:00:00"/>
    <x v="0"/>
    <x v="3"/>
    <x v="6"/>
    <n v="8"/>
    <n v="3558"/>
    <n v="28464"/>
    <x v="0"/>
    <s v="Jan-25"/>
  </r>
  <r>
    <d v="2025-01-21T00:00:00"/>
    <x v="2"/>
    <x v="3"/>
    <x v="3"/>
    <n v="9"/>
    <n v="3481"/>
    <n v="31329"/>
    <x v="0"/>
    <s v="Jan-25"/>
  </r>
  <r>
    <d v="2025-01-21T00:00:00"/>
    <x v="1"/>
    <x v="0"/>
    <x v="4"/>
    <n v="8"/>
    <n v="11711"/>
    <n v="93688"/>
    <x v="0"/>
    <s v="Jan-25"/>
  </r>
  <r>
    <d v="2025-01-22T00:00:00"/>
    <x v="2"/>
    <x v="4"/>
    <x v="4"/>
    <n v="4"/>
    <n v="7819"/>
    <n v="31276"/>
    <x v="0"/>
    <s v="Jan-25"/>
  </r>
  <r>
    <d v="2025-01-22T00:00:00"/>
    <x v="0"/>
    <x v="0"/>
    <x v="0"/>
    <n v="4"/>
    <n v="11726"/>
    <n v="46904"/>
    <x v="0"/>
    <s v="Jan-25"/>
  </r>
  <r>
    <d v="2025-01-22T00:00:00"/>
    <x v="2"/>
    <x v="4"/>
    <x v="1"/>
    <n v="3"/>
    <n v="7720"/>
    <n v="23160"/>
    <x v="0"/>
    <s v="Jan-25"/>
  </r>
  <r>
    <d v="2025-01-23T00:00:00"/>
    <x v="1"/>
    <x v="0"/>
    <x v="2"/>
    <n v="2"/>
    <n v="11897"/>
    <n v="23794"/>
    <x v="0"/>
    <s v="Jan-25"/>
  </r>
  <r>
    <d v="2025-01-23T00:00:00"/>
    <x v="2"/>
    <x v="4"/>
    <x v="4"/>
    <n v="7"/>
    <n v="7649"/>
    <n v="53543"/>
    <x v="0"/>
    <s v="Jan-25"/>
  </r>
  <r>
    <d v="2025-01-23T00:00:00"/>
    <x v="3"/>
    <x v="3"/>
    <x v="7"/>
    <n v="10"/>
    <n v="3458"/>
    <n v="34580"/>
    <x v="0"/>
    <s v="Jan-25"/>
  </r>
  <r>
    <d v="2025-01-23T00:00:00"/>
    <x v="0"/>
    <x v="2"/>
    <x v="0"/>
    <n v="7"/>
    <n v="18636"/>
    <n v="130452"/>
    <x v="0"/>
    <s v="Jan-25"/>
  </r>
  <r>
    <d v="2025-01-23T00:00:00"/>
    <x v="3"/>
    <x v="4"/>
    <x v="2"/>
    <n v="8"/>
    <n v="7775"/>
    <n v="62200"/>
    <x v="0"/>
    <s v="Jan-25"/>
  </r>
  <r>
    <d v="2025-01-24T00:00:00"/>
    <x v="3"/>
    <x v="5"/>
    <x v="3"/>
    <n v="6"/>
    <n v="55928"/>
    <n v="335568"/>
    <x v="0"/>
    <s v="Jan-25"/>
  </r>
  <r>
    <d v="2025-01-24T00:00:00"/>
    <x v="3"/>
    <x v="0"/>
    <x v="6"/>
    <n v="8"/>
    <n v="12503"/>
    <n v="100024"/>
    <x v="0"/>
    <s v="Jan-25"/>
  </r>
  <r>
    <d v="2025-01-24T00:00:00"/>
    <x v="0"/>
    <x v="3"/>
    <x v="7"/>
    <n v="2"/>
    <n v="3549"/>
    <n v="7098"/>
    <x v="0"/>
    <s v="Jan-25"/>
  </r>
  <r>
    <d v="2025-01-24T00:00:00"/>
    <x v="1"/>
    <x v="3"/>
    <x v="6"/>
    <n v="1"/>
    <n v="3416"/>
    <n v="3416"/>
    <x v="0"/>
    <s v="Jan-25"/>
  </r>
  <r>
    <d v="2025-01-24T00:00:00"/>
    <x v="2"/>
    <x v="1"/>
    <x v="4"/>
    <n v="6"/>
    <n v="21642"/>
    <n v="129852"/>
    <x v="0"/>
    <s v="Jan-25"/>
  </r>
  <r>
    <d v="2025-01-25T00:00:00"/>
    <x v="2"/>
    <x v="3"/>
    <x v="0"/>
    <n v="2"/>
    <n v="3489"/>
    <n v="6978"/>
    <x v="0"/>
    <s v="Jan-25"/>
  </r>
  <r>
    <d v="2025-01-25T00:00:00"/>
    <x v="0"/>
    <x v="2"/>
    <x v="2"/>
    <n v="2"/>
    <n v="18506"/>
    <n v="37012"/>
    <x v="0"/>
    <s v="Jan-25"/>
  </r>
  <r>
    <d v="2025-01-25T00:00:00"/>
    <x v="0"/>
    <x v="5"/>
    <x v="2"/>
    <n v="4"/>
    <n v="56865"/>
    <n v="227460"/>
    <x v="0"/>
    <s v="Jan-25"/>
  </r>
  <r>
    <d v="2025-01-25T00:00:00"/>
    <x v="1"/>
    <x v="1"/>
    <x v="6"/>
    <n v="8"/>
    <n v="22372"/>
    <n v="178976"/>
    <x v="0"/>
    <s v="Jan-25"/>
  </r>
  <r>
    <d v="2025-01-25T00:00:00"/>
    <x v="1"/>
    <x v="3"/>
    <x v="0"/>
    <n v="6"/>
    <n v="3383"/>
    <n v="20298"/>
    <x v="0"/>
    <s v="Jan-25"/>
  </r>
  <r>
    <d v="2025-01-26T00:00:00"/>
    <x v="0"/>
    <x v="1"/>
    <x v="0"/>
    <n v="2"/>
    <n v="22173"/>
    <n v="44346"/>
    <x v="0"/>
    <s v="Jan-25"/>
  </r>
  <r>
    <d v="2025-01-26T00:00:00"/>
    <x v="2"/>
    <x v="4"/>
    <x v="3"/>
    <n v="7"/>
    <n v="8353"/>
    <n v="58471"/>
    <x v="0"/>
    <s v="Jan-25"/>
  </r>
  <r>
    <d v="2025-01-26T00:00:00"/>
    <x v="1"/>
    <x v="5"/>
    <x v="2"/>
    <n v="2"/>
    <n v="56084"/>
    <n v="112168"/>
    <x v="0"/>
    <s v="Jan-25"/>
  </r>
  <r>
    <d v="2025-01-26T00:00:00"/>
    <x v="2"/>
    <x v="0"/>
    <x v="1"/>
    <n v="10"/>
    <n v="12339"/>
    <n v="123390"/>
    <x v="0"/>
    <s v="Jan-25"/>
  </r>
  <r>
    <d v="2025-01-26T00:00:00"/>
    <x v="2"/>
    <x v="4"/>
    <x v="3"/>
    <n v="6"/>
    <n v="7655"/>
    <n v="45930"/>
    <x v="0"/>
    <s v="Jan-25"/>
  </r>
  <r>
    <d v="2025-01-26T00:00:00"/>
    <x v="2"/>
    <x v="5"/>
    <x v="3"/>
    <n v="8"/>
    <n v="52830"/>
    <n v="422640"/>
    <x v="0"/>
    <s v="Jan-25"/>
  </r>
  <r>
    <d v="2025-01-27T00:00:00"/>
    <x v="3"/>
    <x v="0"/>
    <x v="6"/>
    <n v="7"/>
    <n v="11611"/>
    <n v="81277"/>
    <x v="0"/>
    <s v="Jan-25"/>
  </r>
  <r>
    <d v="2025-01-27T00:00:00"/>
    <x v="2"/>
    <x v="4"/>
    <x v="4"/>
    <n v="8"/>
    <n v="7948"/>
    <n v="63584"/>
    <x v="0"/>
    <s v="Jan-25"/>
  </r>
  <r>
    <d v="2025-01-27T00:00:00"/>
    <x v="2"/>
    <x v="2"/>
    <x v="2"/>
    <n v="2"/>
    <n v="17602"/>
    <n v="35204"/>
    <x v="0"/>
    <s v="Jan-25"/>
  </r>
  <r>
    <d v="2025-01-27T00:00:00"/>
    <x v="3"/>
    <x v="1"/>
    <x v="4"/>
    <n v="10"/>
    <n v="22242"/>
    <n v="222420"/>
    <x v="0"/>
    <s v="Jan-25"/>
  </r>
  <r>
    <d v="2025-01-28T00:00:00"/>
    <x v="2"/>
    <x v="5"/>
    <x v="4"/>
    <n v="6"/>
    <n v="53250"/>
    <n v="319500"/>
    <x v="0"/>
    <s v="Jan-25"/>
  </r>
  <r>
    <d v="2025-01-28T00:00:00"/>
    <x v="1"/>
    <x v="2"/>
    <x v="0"/>
    <n v="6"/>
    <n v="17603"/>
    <n v="105618"/>
    <x v="0"/>
    <s v="Jan-25"/>
  </r>
  <r>
    <d v="2025-01-28T00:00:00"/>
    <x v="2"/>
    <x v="4"/>
    <x v="7"/>
    <n v="9"/>
    <n v="8358"/>
    <n v="75222"/>
    <x v="0"/>
    <s v="Jan-25"/>
  </r>
  <r>
    <d v="2025-01-28T00:00:00"/>
    <x v="0"/>
    <x v="1"/>
    <x v="3"/>
    <n v="8"/>
    <n v="22121"/>
    <n v="176968"/>
    <x v="0"/>
    <s v="Jan-25"/>
  </r>
  <r>
    <d v="2025-01-28T00:00:00"/>
    <x v="1"/>
    <x v="0"/>
    <x v="4"/>
    <n v="8"/>
    <n v="11937"/>
    <n v="95496"/>
    <x v="0"/>
    <s v="Jan-25"/>
  </r>
  <r>
    <d v="2025-01-29T00:00:00"/>
    <x v="0"/>
    <x v="2"/>
    <x v="2"/>
    <n v="7"/>
    <n v="18345"/>
    <n v="128415"/>
    <x v="0"/>
    <s v="Jan-25"/>
  </r>
  <r>
    <d v="2025-01-29T00:00:00"/>
    <x v="2"/>
    <x v="0"/>
    <x v="5"/>
    <n v="8"/>
    <n v="12064"/>
    <n v="96512"/>
    <x v="0"/>
    <s v="Jan-25"/>
  </r>
  <r>
    <d v="2025-01-30T00:00:00"/>
    <x v="3"/>
    <x v="0"/>
    <x v="5"/>
    <n v="6"/>
    <n v="12243"/>
    <n v="73458"/>
    <x v="0"/>
    <s v="Jan-25"/>
  </r>
  <r>
    <d v="2025-01-30T00:00:00"/>
    <x v="2"/>
    <x v="2"/>
    <x v="0"/>
    <n v="4"/>
    <n v="17317"/>
    <n v="69268"/>
    <x v="0"/>
    <s v="Jan-25"/>
  </r>
  <r>
    <d v="2025-01-30T00:00:00"/>
    <x v="1"/>
    <x v="2"/>
    <x v="1"/>
    <n v="9"/>
    <n v="18811"/>
    <n v="169299"/>
    <x v="0"/>
    <s v="Jan-25"/>
  </r>
  <r>
    <d v="2025-01-30T00:00:00"/>
    <x v="1"/>
    <x v="1"/>
    <x v="2"/>
    <n v="8"/>
    <n v="21508"/>
    <n v="172064"/>
    <x v="0"/>
    <s v="Jan-25"/>
  </r>
  <r>
    <d v="2025-01-31T00:00:00"/>
    <x v="2"/>
    <x v="5"/>
    <x v="2"/>
    <n v="5"/>
    <n v="53501"/>
    <n v="267505"/>
    <x v="0"/>
    <s v="Jan-25"/>
  </r>
  <r>
    <d v="2025-01-31T00:00:00"/>
    <x v="1"/>
    <x v="2"/>
    <x v="7"/>
    <n v="9"/>
    <n v="17327"/>
    <n v="155943"/>
    <x v="0"/>
    <s v="Jan-25"/>
  </r>
  <r>
    <d v="2025-01-31T00:00:00"/>
    <x v="0"/>
    <x v="5"/>
    <x v="0"/>
    <n v="3"/>
    <n v="55758"/>
    <n v="167274"/>
    <x v="0"/>
    <s v="Jan-25"/>
  </r>
  <r>
    <d v="2025-01-31T00:00:00"/>
    <x v="3"/>
    <x v="5"/>
    <x v="7"/>
    <n v="10"/>
    <n v="53813"/>
    <n v="538130"/>
    <x v="0"/>
    <s v="Jan-25"/>
  </r>
  <r>
    <d v="2025-01-31T00:00:00"/>
    <x v="3"/>
    <x v="3"/>
    <x v="5"/>
    <n v="3"/>
    <n v="3662"/>
    <n v="10986"/>
    <x v="0"/>
    <s v="Jan-25"/>
  </r>
  <r>
    <d v="2025-01-31T00:00:00"/>
    <x v="2"/>
    <x v="3"/>
    <x v="1"/>
    <n v="2"/>
    <n v="3465"/>
    <n v="6930"/>
    <x v="0"/>
    <s v="Jan-25"/>
  </r>
  <r>
    <d v="2025-02-01T00:00:00"/>
    <x v="0"/>
    <x v="1"/>
    <x v="6"/>
    <n v="10"/>
    <n v="22988"/>
    <n v="229880"/>
    <x v="1"/>
    <s v="Feb-25"/>
  </r>
  <r>
    <d v="2025-02-01T00:00:00"/>
    <x v="0"/>
    <x v="1"/>
    <x v="1"/>
    <n v="9"/>
    <n v="22581"/>
    <n v="203229"/>
    <x v="1"/>
    <s v="Feb-25"/>
  </r>
  <r>
    <d v="2025-02-02T00:00:00"/>
    <x v="1"/>
    <x v="4"/>
    <x v="3"/>
    <n v="8"/>
    <n v="8326"/>
    <n v="66608"/>
    <x v="1"/>
    <s v="Feb-25"/>
  </r>
  <r>
    <d v="2025-02-02T00:00:00"/>
    <x v="2"/>
    <x v="4"/>
    <x v="3"/>
    <n v="5"/>
    <n v="8054"/>
    <n v="40270"/>
    <x v="1"/>
    <s v="Feb-25"/>
  </r>
  <r>
    <d v="2025-02-02T00:00:00"/>
    <x v="0"/>
    <x v="4"/>
    <x v="1"/>
    <n v="4"/>
    <n v="8100"/>
    <n v="32400"/>
    <x v="1"/>
    <s v="Feb-25"/>
  </r>
  <r>
    <d v="2025-02-02T00:00:00"/>
    <x v="2"/>
    <x v="0"/>
    <x v="1"/>
    <n v="3"/>
    <n v="11687"/>
    <n v="35061"/>
    <x v="1"/>
    <s v="Feb-25"/>
  </r>
  <r>
    <d v="2025-02-02T00:00:00"/>
    <x v="0"/>
    <x v="1"/>
    <x v="7"/>
    <n v="7"/>
    <n v="21891"/>
    <n v="153237"/>
    <x v="1"/>
    <s v="Feb-25"/>
  </r>
  <r>
    <d v="2025-02-02T00:00:00"/>
    <x v="3"/>
    <x v="2"/>
    <x v="7"/>
    <n v="4"/>
    <n v="17618"/>
    <n v="70472"/>
    <x v="1"/>
    <s v="Feb-25"/>
  </r>
  <r>
    <d v="2025-02-03T00:00:00"/>
    <x v="3"/>
    <x v="5"/>
    <x v="2"/>
    <n v="5"/>
    <n v="56583"/>
    <n v="282915"/>
    <x v="1"/>
    <s v="Feb-25"/>
  </r>
  <r>
    <d v="2025-02-03T00:00:00"/>
    <x v="1"/>
    <x v="3"/>
    <x v="1"/>
    <n v="9"/>
    <n v="3403"/>
    <n v="30627"/>
    <x v="1"/>
    <s v="Feb-25"/>
  </r>
  <r>
    <d v="2025-02-03T00:00:00"/>
    <x v="1"/>
    <x v="2"/>
    <x v="6"/>
    <n v="2"/>
    <n v="17207"/>
    <n v="34414"/>
    <x v="1"/>
    <s v="Feb-25"/>
  </r>
  <r>
    <d v="2025-02-03T00:00:00"/>
    <x v="2"/>
    <x v="4"/>
    <x v="0"/>
    <n v="8"/>
    <n v="7699"/>
    <n v="61592"/>
    <x v="1"/>
    <s v="Feb-25"/>
  </r>
  <r>
    <d v="2025-02-04T00:00:00"/>
    <x v="3"/>
    <x v="2"/>
    <x v="4"/>
    <n v="8"/>
    <n v="17244"/>
    <n v="137952"/>
    <x v="1"/>
    <s v="Feb-25"/>
  </r>
  <r>
    <d v="2025-02-04T00:00:00"/>
    <x v="0"/>
    <x v="3"/>
    <x v="5"/>
    <n v="10"/>
    <n v="3412"/>
    <n v="34120"/>
    <x v="1"/>
    <s v="Feb-25"/>
  </r>
  <r>
    <d v="2025-02-04T00:00:00"/>
    <x v="0"/>
    <x v="1"/>
    <x v="7"/>
    <n v="5"/>
    <n v="22167"/>
    <n v="110835"/>
    <x v="1"/>
    <s v="Feb-25"/>
  </r>
  <r>
    <d v="2025-02-04T00:00:00"/>
    <x v="1"/>
    <x v="3"/>
    <x v="4"/>
    <n v="5"/>
    <n v="3388"/>
    <n v="16940"/>
    <x v="1"/>
    <s v="Feb-25"/>
  </r>
  <r>
    <d v="2025-02-05T00:00:00"/>
    <x v="3"/>
    <x v="0"/>
    <x v="4"/>
    <n v="2"/>
    <n v="11964"/>
    <n v="23928"/>
    <x v="1"/>
    <s v="Feb-25"/>
  </r>
  <r>
    <d v="2025-02-05T00:00:00"/>
    <x v="3"/>
    <x v="2"/>
    <x v="5"/>
    <n v="2"/>
    <n v="18643"/>
    <n v="37286"/>
    <x v="1"/>
    <s v="Feb-25"/>
  </r>
  <r>
    <d v="2025-02-05T00:00:00"/>
    <x v="2"/>
    <x v="3"/>
    <x v="4"/>
    <n v="5"/>
    <n v="3556"/>
    <n v="17780"/>
    <x v="1"/>
    <s v="Feb-25"/>
  </r>
  <r>
    <d v="2025-02-05T00:00:00"/>
    <x v="3"/>
    <x v="4"/>
    <x v="7"/>
    <n v="8"/>
    <n v="7670"/>
    <n v="61360"/>
    <x v="1"/>
    <s v="Feb-25"/>
  </r>
  <r>
    <d v="2025-02-05T00:00:00"/>
    <x v="2"/>
    <x v="2"/>
    <x v="1"/>
    <n v="7"/>
    <n v="18656"/>
    <n v="130592"/>
    <x v="1"/>
    <s v="Feb-25"/>
  </r>
  <r>
    <d v="2025-02-05T00:00:00"/>
    <x v="0"/>
    <x v="0"/>
    <x v="4"/>
    <n v="7"/>
    <n v="11465"/>
    <n v="80255"/>
    <x v="1"/>
    <s v="Feb-25"/>
  </r>
  <r>
    <d v="2025-02-06T00:00:00"/>
    <x v="2"/>
    <x v="4"/>
    <x v="4"/>
    <n v="8"/>
    <n v="8207"/>
    <n v="65656"/>
    <x v="1"/>
    <s v="Feb-25"/>
  </r>
  <r>
    <d v="2025-02-06T00:00:00"/>
    <x v="1"/>
    <x v="2"/>
    <x v="6"/>
    <n v="5"/>
    <n v="17888"/>
    <n v="89440"/>
    <x v="1"/>
    <s v="Feb-25"/>
  </r>
  <r>
    <d v="2025-02-06T00:00:00"/>
    <x v="3"/>
    <x v="5"/>
    <x v="7"/>
    <n v="10"/>
    <n v="56646"/>
    <n v="566460"/>
    <x v="1"/>
    <s v="Feb-25"/>
  </r>
  <r>
    <d v="2025-02-06T00:00:00"/>
    <x v="1"/>
    <x v="2"/>
    <x v="7"/>
    <n v="9"/>
    <n v="17834"/>
    <n v="160506"/>
    <x v="1"/>
    <s v="Feb-25"/>
  </r>
  <r>
    <d v="2025-02-06T00:00:00"/>
    <x v="1"/>
    <x v="5"/>
    <x v="4"/>
    <n v="2"/>
    <n v="55812"/>
    <n v="111624"/>
    <x v="1"/>
    <s v="Feb-25"/>
  </r>
  <r>
    <d v="2025-02-06T00:00:00"/>
    <x v="1"/>
    <x v="3"/>
    <x v="0"/>
    <n v="9"/>
    <n v="3571"/>
    <n v="32139"/>
    <x v="1"/>
    <s v="Feb-25"/>
  </r>
  <r>
    <d v="2025-02-07T00:00:00"/>
    <x v="3"/>
    <x v="3"/>
    <x v="2"/>
    <n v="8"/>
    <n v="3517"/>
    <n v="28136"/>
    <x v="1"/>
    <s v="Feb-25"/>
  </r>
  <r>
    <d v="2025-02-07T00:00:00"/>
    <x v="3"/>
    <x v="1"/>
    <x v="6"/>
    <n v="2"/>
    <n v="21507"/>
    <n v="43014"/>
    <x v="1"/>
    <s v="Feb-25"/>
  </r>
  <r>
    <d v="2025-02-07T00:00:00"/>
    <x v="3"/>
    <x v="2"/>
    <x v="0"/>
    <n v="1"/>
    <n v="17609"/>
    <n v="17609"/>
    <x v="1"/>
    <s v="Feb-25"/>
  </r>
  <r>
    <d v="2025-02-07T00:00:00"/>
    <x v="2"/>
    <x v="4"/>
    <x v="4"/>
    <n v="3"/>
    <n v="7957"/>
    <n v="23871"/>
    <x v="1"/>
    <s v="Feb-25"/>
  </r>
  <r>
    <d v="2025-02-07T00:00:00"/>
    <x v="3"/>
    <x v="2"/>
    <x v="5"/>
    <n v="9"/>
    <n v="18473"/>
    <n v="166257"/>
    <x v="1"/>
    <s v="Feb-25"/>
  </r>
  <r>
    <d v="2025-02-08T00:00:00"/>
    <x v="3"/>
    <x v="2"/>
    <x v="2"/>
    <n v="4"/>
    <n v="18129"/>
    <n v="72516"/>
    <x v="1"/>
    <s v="Feb-25"/>
  </r>
  <r>
    <d v="2025-02-08T00:00:00"/>
    <x v="1"/>
    <x v="3"/>
    <x v="7"/>
    <n v="6"/>
    <n v="3585"/>
    <n v="21510"/>
    <x v="1"/>
    <s v="Feb-25"/>
  </r>
  <r>
    <d v="2025-02-08T00:00:00"/>
    <x v="3"/>
    <x v="3"/>
    <x v="6"/>
    <n v="8"/>
    <n v="3662"/>
    <n v="29296"/>
    <x v="1"/>
    <s v="Feb-25"/>
  </r>
  <r>
    <d v="2025-02-08T00:00:00"/>
    <x v="1"/>
    <x v="4"/>
    <x v="5"/>
    <n v="2"/>
    <n v="8299"/>
    <n v="16598"/>
    <x v="1"/>
    <s v="Feb-25"/>
  </r>
  <r>
    <d v="2025-02-08T00:00:00"/>
    <x v="3"/>
    <x v="5"/>
    <x v="4"/>
    <n v="1"/>
    <n v="56223"/>
    <n v="56223"/>
    <x v="1"/>
    <s v="Feb-25"/>
  </r>
  <r>
    <d v="2025-02-09T00:00:00"/>
    <x v="1"/>
    <x v="5"/>
    <x v="4"/>
    <n v="5"/>
    <n v="54112"/>
    <n v="270560"/>
    <x v="1"/>
    <s v="Feb-25"/>
  </r>
  <r>
    <d v="2025-02-09T00:00:00"/>
    <x v="3"/>
    <x v="0"/>
    <x v="1"/>
    <n v="6"/>
    <n v="12422"/>
    <n v="74532"/>
    <x v="1"/>
    <s v="Feb-25"/>
  </r>
  <r>
    <d v="2025-02-09T00:00:00"/>
    <x v="3"/>
    <x v="2"/>
    <x v="4"/>
    <n v="9"/>
    <n v="17164"/>
    <n v="154476"/>
    <x v="1"/>
    <s v="Feb-25"/>
  </r>
  <r>
    <d v="2025-02-09T00:00:00"/>
    <x v="0"/>
    <x v="1"/>
    <x v="0"/>
    <n v="4"/>
    <n v="22542"/>
    <n v="90168"/>
    <x v="1"/>
    <s v="Feb-25"/>
  </r>
  <r>
    <d v="2025-02-09T00:00:00"/>
    <x v="3"/>
    <x v="5"/>
    <x v="1"/>
    <n v="8"/>
    <n v="53165"/>
    <n v="425320"/>
    <x v="1"/>
    <s v="Feb-25"/>
  </r>
  <r>
    <d v="2025-02-10T00:00:00"/>
    <x v="0"/>
    <x v="5"/>
    <x v="5"/>
    <n v="1"/>
    <n v="53863"/>
    <n v="53863"/>
    <x v="1"/>
    <s v="Feb-25"/>
  </r>
  <r>
    <d v="2025-02-10T00:00:00"/>
    <x v="2"/>
    <x v="3"/>
    <x v="6"/>
    <n v="4"/>
    <n v="3510"/>
    <n v="14040"/>
    <x v="1"/>
    <s v="Feb-25"/>
  </r>
  <r>
    <d v="2025-02-10T00:00:00"/>
    <x v="1"/>
    <x v="1"/>
    <x v="6"/>
    <n v="2"/>
    <n v="22240"/>
    <n v="44480"/>
    <x v="1"/>
    <s v="Feb-25"/>
  </r>
  <r>
    <d v="2025-02-10T00:00:00"/>
    <x v="3"/>
    <x v="4"/>
    <x v="2"/>
    <n v="8"/>
    <n v="8330"/>
    <n v="66640"/>
    <x v="1"/>
    <s v="Feb-25"/>
  </r>
  <r>
    <d v="2025-02-11T00:00:00"/>
    <x v="1"/>
    <x v="3"/>
    <x v="0"/>
    <n v="8"/>
    <n v="3414"/>
    <n v="27312"/>
    <x v="1"/>
    <s v="Feb-25"/>
  </r>
  <r>
    <d v="2025-02-11T00:00:00"/>
    <x v="0"/>
    <x v="3"/>
    <x v="0"/>
    <n v="9"/>
    <n v="3380"/>
    <n v="30420"/>
    <x v="1"/>
    <s v="Feb-25"/>
  </r>
  <r>
    <d v="2025-02-11T00:00:00"/>
    <x v="3"/>
    <x v="2"/>
    <x v="0"/>
    <n v="7"/>
    <n v="18342"/>
    <n v="128394"/>
    <x v="1"/>
    <s v="Feb-25"/>
  </r>
  <r>
    <d v="2025-02-12T00:00:00"/>
    <x v="2"/>
    <x v="1"/>
    <x v="3"/>
    <n v="8"/>
    <n v="21134"/>
    <n v="169072"/>
    <x v="1"/>
    <s v="Feb-25"/>
  </r>
  <r>
    <d v="2025-02-12T00:00:00"/>
    <x v="3"/>
    <x v="4"/>
    <x v="5"/>
    <n v="10"/>
    <n v="7836"/>
    <n v="78360"/>
    <x v="1"/>
    <s v="Feb-25"/>
  </r>
  <r>
    <d v="2025-02-12T00:00:00"/>
    <x v="2"/>
    <x v="5"/>
    <x v="3"/>
    <n v="5"/>
    <n v="52294"/>
    <n v="261470"/>
    <x v="1"/>
    <s v="Feb-25"/>
  </r>
  <r>
    <d v="2025-02-12T00:00:00"/>
    <x v="0"/>
    <x v="4"/>
    <x v="4"/>
    <n v="5"/>
    <n v="8220"/>
    <n v="41100"/>
    <x v="1"/>
    <s v="Feb-25"/>
  </r>
  <r>
    <d v="2025-02-12T00:00:00"/>
    <x v="1"/>
    <x v="4"/>
    <x v="5"/>
    <n v="4"/>
    <n v="8109"/>
    <n v="32436"/>
    <x v="1"/>
    <s v="Feb-25"/>
  </r>
  <r>
    <d v="2025-02-13T00:00:00"/>
    <x v="2"/>
    <x v="0"/>
    <x v="6"/>
    <n v="2"/>
    <n v="12484"/>
    <n v="24968"/>
    <x v="1"/>
    <s v="Feb-25"/>
  </r>
  <r>
    <d v="2025-02-13T00:00:00"/>
    <x v="0"/>
    <x v="2"/>
    <x v="4"/>
    <n v="1"/>
    <n v="18143"/>
    <n v="18143"/>
    <x v="1"/>
    <s v="Feb-25"/>
  </r>
  <r>
    <d v="2025-02-13T00:00:00"/>
    <x v="1"/>
    <x v="5"/>
    <x v="0"/>
    <n v="6"/>
    <n v="56361"/>
    <n v="338166"/>
    <x v="1"/>
    <s v="Feb-25"/>
  </r>
  <r>
    <d v="2025-02-13T00:00:00"/>
    <x v="1"/>
    <x v="1"/>
    <x v="6"/>
    <n v="9"/>
    <n v="22828"/>
    <n v="205452"/>
    <x v="1"/>
    <s v="Feb-25"/>
  </r>
  <r>
    <d v="2025-02-13T00:00:00"/>
    <x v="2"/>
    <x v="4"/>
    <x v="0"/>
    <n v="3"/>
    <n v="7805"/>
    <n v="23415"/>
    <x v="1"/>
    <s v="Feb-25"/>
  </r>
  <r>
    <d v="2025-02-13T00:00:00"/>
    <x v="3"/>
    <x v="2"/>
    <x v="5"/>
    <n v="2"/>
    <n v="17942"/>
    <n v="35884"/>
    <x v="1"/>
    <s v="Feb-25"/>
  </r>
  <r>
    <d v="2025-02-14T00:00:00"/>
    <x v="1"/>
    <x v="1"/>
    <x v="3"/>
    <n v="9"/>
    <n v="21704"/>
    <n v="195336"/>
    <x v="1"/>
    <s v="Feb-25"/>
  </r>
  <r>
    <d v="2025-02-14T00:00:00"/>
    <x v="3"/>
    <x v="5"/>
    <x v="0"/>
    <n v="9"/>
    <n v="52929"/>
    <n v="476361"/>
    <x v="1"/>
    <s v="Feb-25"/>
  </r>
  <r>
    <d v="2025-02-15T00:00:00"/>
    <x v="2"/>
    <x v="4"/>
    <x v="3"/>
    <n v="6"/>
    <n v="7686"/>
    <n v="46116"/>
    <x v="1"/>
    <s v="Feb-25"/>
  </r>
  <r>
    <d v="2025-02-15T00:00:00"/>
    <x v="1"/>
    <x v="3"/>
    <x v="7"/>
    <n v="10"/>
    <n v="3634"/>
    <n v="36340"/>
    <x v="1"/>
    <s v="Feb-25"/>
  </r>
  <r>
    <d v="2025-02-15T00:00:00"/>
    <x v="2"/>
    <x v="4"/>
    <x v="2"/>
    <n v="2"/>
    <n v="8108"/>
    <n v="16216"/>
    <x v="1"/>
    <s v="Feb-25"/>
  </r>
  <r>
    <d v="2025-02-15T00:00:00"/>
    <x v="3"/>
    <x v="0"/>
    <x v="0"/>
    <n v="7"/>
    <n v="11540"/>
    <n v="80780"/>
    <x v="1"/>
    <s v="Feb-25"/>
  </r>
  <r>
    <d v="2025-02-16T00:00:00"/>
    <x v="0"/>
    <x v="2"/>
    <x v="4"/>
    <n v="2"/>
    <n v="17274"/>
    <n v="34548"/>
    <x v="1"/>
    <s v="Feb-25"/>
  </r>
  <r>
    <d v="2025-02-16T00:00:00"/>
    <x v="1"/>
    <x v="3"/>
    <x v="4"/>
    <n v="6"/>
    <n v="3559"/>
    <n v="21354"/>
    <x v="1"/>
    <s v="Feb-25"/>
  </r>
  <r>
    <d v="2025-02-17T00:00:00"/>
    <x v="3"/>
    <x v="4"/>
    <x v="6"/>
    <n v="7"/>
    <n v="8123"/>
    <n v="56861"/>
    <x v="1"/>
    <s v="Feb-25"/>
  </r>
  <r>
    <d v="2025-02-17T00:00:00"/>
    <x v="3"/>
    <x v="4"/>
    <x v="3"/>
    <n v="5"/>
    <n v="7626"/>
    <n v="38130"/>
    <x v="1"/>
    <s v="Feb-25"/>
  </r>
  <r>
    <d v="2025-02-17T00:00:00"/>
    <x v="2"/>
    <x v="1"/>
    <x v="4"/>
    <n v="8"/>
    <n v="22991"/>
    <n v="183928"/>
    <x v="1"/>
    <s v="Feb-25"/>
  </r>
  <r>
    <d v="2025-02-17T00:00:00"/>
    <x v="2"/>
    <x v="5"/>
    <x v="5"/>
    <n v="9"/>
    <n v="57209"/>
    <n v="514881"/>
    <x v="1"/>
    <s v="Feb-25"/>
  </r>
  <r>
    <d v="2025-02-17T00:00:00"/>
    <x v="2"/>
    <x v="5"/>
    <x v="3"/>
    <n v="5"/>
    <n v="53293"/>
    <n v="266465"/>
    <x v="1"/>
    <s v="Feb-25"/>
  </r>
  <r>
    <d v="2025-02-17T00:00:00"/>
    <x v="0"/>
    <x v="3"/>
    <x v="1"/>
    <n v="4"/>
    <n v="3549"/>
    <n v="14196"/>
    <x v="1"/>
    <s v="Feb-25"/>
  </r>
  <r>
    <d v="2025-02-18T00:00:00"/>
    <x v="0"/>
    <x v="5"/>
    <x v="5"/>
    <n v="4"/>
    <n v="57688"/>
    <n v="230752"/>
    <x v="1"/>
    <s v="Feb-25"/>
  </r>
  <r>
    <d v="2025-02-18T00:00:00"/>
    <x v="1"/>
    <x v="5"/>
    <x v="2"/>
    <n v="10"/>
    <n v="53437"/>
    <n v="534370"/>
    <x v="1"/>
    <s v="Feb-25"/>
  </r>
  <r>
    <d v="2025-02-18T00:00:00"/>
    <x v="1"/>
    <x v="2"/>
    <x v="6"/>
    <n v="10"/>
    <n v="17105"/>
    <n v="171050"/>
    <x v="1"/>
    <s v="Feb-25"/>
  </r>
  <r>
    <d v="2025-02-18T00:00:00"/>
    <x v="1"/>
    <x v="1"/>
    <x v="0"/>
    <n v="3"/>
    <n v="21141"/>
    <n v="63423"/>
    <x v="1"/>
    <s v="Feb-25"/>
  </r>
  <r>
    <d v="2025-02-18T00:00:00"/>
    <x v="0"/>
    <x v="1"/>
    <x v="7"/>
    <n v="6"/>
    <n v="22637"/>
    <n v="135822"/>
    <x v="1"/>
    <s v="Feb-25"/>
  </r>
  <r>
    <d v="2025-02-18T00:00:00"/>
    <x v="1"/>
    <x v="4"/>
    <x v="5"/>
    <n v="1"/>
    <n v="7739"/>
    <n v="7739"/>
    <x v="1"/>
    <s v="Feb-25"/>
  </r>
  <r>
    <d v="2025-02-19T00:00:00"/>
    <x v="1"/>
    <x v="0"/>
    <x v="3"/>
    <n v="9"/>
    <n v="11536"/>
    <n v="103824"/>
    <x v="1"/>
    <s v="Feb-25"/>
  </r>
  <r>
    <d v="2025-02-19T00:00:00"/>
    <x v="0"/>
    <x v="3"/>
    <x v="4"/>
    <n v="6"/>
    <n v="3504"/>
    <n v="21024"/>
    <x v="1"/>
    <s v="Feb-25"/>
  </r>
  <r>
    <d v="2025-02-20T00:00:00"/>
    <x v="3"/>
    <x v="4"/>
    <x v="2"/>
    <n v="10"/>
    <n v="7634"/>
    <n v="76340"/>
    <x v="1"/>
    <s v="Feb-25"/>
  </r>
  <r>
    <d v="2025-02-20T00:00:00"/>
    <x v="2"/>
    <x v="3"/>
    <x v="7"/>
    <n v="1"/>
    <n v="3674"/>
    <n v="3674"/>
    <x v="1"/>
    <s v="Feb-25"/>
  </r>
  <r>
    <d v="2025-02-21T00:00:00"/>
    <x v="3"/>
    <x v="0"/>
    <x v="1"/>
    <n v="8"/>
    <n v="12254"/>
    <n v="98032"/>
    <x v="1"/>
    <s v="Feb-25"/>
  </r>
  <r>
    <d v="2025-02-21T00:00:00"/>
    <x v="3"/>
    <x v="5"/>
    <x v="1"/>
    <n v="6"/>
    <n v="55595"/>
    <n v="333570"/>
    <x v="1"/>
    <s v="Feb-25"/>
  </r>
  <r>
    <d v="2025-02-21T00:00:00"/>
    <x v="0"/>
    <x v="1"/>
    <x v="0"/>
    <n v="10"/>
    <n v="22292"/>
    <n v="222920"/>
    <x v="1"/>
    <s v="Feb-25"/>
  </r>
  <r>
    <d v="2025-02-21T00:00:00"/>
    <x v="2"/>
    <x v="3"/>
    <x v="0"/>
    <n v="8"/>
    <n v="3501"/>
    <n v="28008"/>
    <x v="1"/>
    <s v="Feb-25"/>
  </r>
  <r>
    <d v="2025-02-21T00:00:00"/>
    <x v="3"/>
    <x v="5"/>
    <x v="1"/>
    <n v="9"/>
    <n v="56214"/>
    <n v="505926"/>
    <x v="1"/>
    <s v="Feb-25"/>
  </r>
  <r>
    <d v="2025-02-22T00:00:00"/>
    <x v="3"/>
    <x v="3"/>
    <x v="2"/>
    <n v="7"/>
    <n v="3443"/>
    <n v="24101"/>
    <x v="1"/>
    <s v="Feb-25"/>
  </r>
  <r>
    <d v="2025-02-22T00:00:00"/>
    <x v="3"/>
    <x v="3"/>
    <x v="3"/>
    <n v="2"/>
    <n v="3434"/>
    <n v="6868"/>
    <x v="1"/>
    <s v="Feb-25"/>
  </r>
  <r>
    <d v="2025-02-22T00:00:00"/>
    <x v="2"/>
    <x v="0"/>
    <x v="0"/>
    <n v="6"/>
    <n v="12544"/>
    <n v="75264"/>
    <x v="1"/>
    <s v="Feb-25"/>
  </r>
  <r>
    <d v="2025-02-23T00:00:00"/>
    <x v="0"/>
    <x v="5"/>
    <x v="1"/>
    <n v="2"/>
    <n v="54625"/>
    <n v="109250"/>
    <x v="1"/>
    <s v="Feb-25"/>
  </r>
  <r>
    <d v="2025-02-23T00:00:00"/>
    <x v="2"/>
    <x v="1"/>
    <x v="7"/>
    <n v="10"/>
    <n v="23004"/>
    <n v="230040"/>
    <x v="1"/>
    <s v="Feb-25"/>
  </r>
  <r>
    <d v="2025-02-23T00:00:00"/>
    <x v="2"/>
    <x v="0"/>
    <x v="1"/>
    <n v="7"/>
    <n v="11824"/>
    <n v="82768"/>
    <x v="1"/>
    <s v="Feb-25"/>
  </r>
  <r>
    <d v="2025-02-23T00:00:00"/>
    <x v="3"/>
    <x v="0"/>
    <x v="7"/>
    <n v="5"/>
    <n v="12120"/>
    <n v="60600"/>
    <x v="1"/>
    <s v="Feb-25"/>
  </r>
  <r>
    <d v="2025-02-23T00:00:00"/>
    <x v="2"/>
    <x v="5"/>
    <x v="2"/>
    <n v="3"/>
    <n v="55862"/>
    <n v="167586"/>
    <x v="1"/>
    <s v="Feb-25"/>
  </r>
  <r>
    <d v="2025-02-24T00:00:00"/>
    <x v="0"/>
    <x v="2"/>
    <x v="5"/>
    <n v="2"/>
    <n v="18472"/>
    <n v="36944"/>
    <x v="1"/>
    <s v="Feb-25"/>
  </r>
  <r>
    <d v="2025-02-24T00:00:00"/>
    <x v="1"/>
    <x v="3"/>
    <x v="7"/>
    <n v="10"/>
    <n v="3650"/>
    <n v="36500"/>
    <x v="1"/>
    <s v="Feb-25"/>
  </r>
  <r>
    <d v="2025-02-24T00:00:00"/>
    <x v="2"/>
    <x v="5"/>
    <x v="6"/>
    <n v="5"/>
    <n v="56114"/>
    <n v="280570"/>
    <x v="1"/>
    <s v="Feb-25"/>
  </r>
  <r>
    <d v="2025-02-25T00:00:00"/>
    <x v="2"/>
    <x v="2"/>
    <x v="7"/>
    <n v="3"/>
    <n v="18665"/>
    <n v="55995"/>
    <x v="1"/>
    <s v="Feb-25"/>
  </r>
  <r>
    <d v="2025-02-25T00:00:00"/>
    <x v="3"/>
    <x v="5"/>
    <x v="6"/>
    <n v="1"/>
    <n v="52754"/>
    <n v="52754"/>
    <x v="1"/>
    <s v="Feb-25"/>
  </r>
  <r>
    <d v="2025-02-25T00:00:00"/>
    <x v="1"/>
    <x v="3"/>
    <x v="3"/>
    <n v="8"/>
    <n v="3444"/>
    <n v="27552"/>
    <x v="1"/>
    <s v="Feb-25"/>
  </r>
  <r>
    <d v="2025-02-25T00:00:00"/>
    <x v="2"/>
    <x v="2"/>
    <x v="5"/>
    <n v="10"/>
    <n v="18173"/>
    <n v="181730"/>
    <x v="1"/>
    <s v="Feb-25"/>
  </r>
  <r>
    <d v="2025-02-26T00:00:00"/>
    <x v="1"/>
    <x v="1"/>
    <x v="7"/>
    <n v="2"/>
    <n v="21498"/>
    <n v="42996"/>
    <x v="1"/>
    <s v="Feb-25"/>
  </r>
  <r>
    <d v="2025-02-26T00:00:00"/>
    <x v="3"/>
    <x v="3"/>
    <x v="4"/>
    <n v="7"/>
    <n v="3420"/>
    <n v="23940"/>
    <x v="1"/>
    <s v="Feb-25"/>
  </r>
  <r>
    <d v="2025-02-27T00:00:00"/>
    <x v="0"/>
    <x v="2"/>
    <x v="3"/>
    <n v="2"/>
    <n v="17609"/>
    <n v="35218"/>
    <x v="1"/>
    <s v="Feb-25"/>
  </r>
  <r>
    <d v="2025-02-27T00:00:00"/>
    <x v="3"/>
    <x v="4"/>
    <x v="0"/>
    <n v="1"/>
    <n v="7776"/>
    <n v="7776"/>
    <x v="1"/>
    <s v="Feb-25"/>
  </r>
  <r>
    <d v="2025-02-27T00:00:00"/>
    <x v="0"/>
    <x v="5"/>
    <x v="2"/>
    <n v="5"/>
    <n v="57449"/>
    <n v="287245"/>
    <x v="1"/>
    <s v="Feb-25"/>
  </r>
  <r>
    <d v="2025-02-27T00:00:00"/>
    <x v="1"/>
    <x v="2"/>
    <x v="0"/>
    <n v="6"/>
    <n v="17315"/>
    <n v="103890"/>
    <x v="1"/>
    <s v="Feb-25"/>
  </r>
  <r>
    <d v="2025-02-27T00:00:00"/>
    <x v="3"/>
    <x v="0"/>
    <x v="3"/>
    <n v="3"/>
    <n v="11555"/>
    <n v="34665"/>
    <x v="1"/>
    <s v="Feb-25"/>
  </r>
  <r>
    <d v="2025-02-27T00:00:00"/>
    <x v="1"/>
    <x v="4"/>
    <x v="5"/>
    <n v="2"/>
    <n v="7917"/>
    <n v="15834"/>
    <x v="1"/>
    <s v="Feb-25"/>
  </r>
  <r>
    <d v="2025-02-28T00:00:00"/>
    <x v="3"/>
    <x v="5"/>
    <x v="4"/>
    <n v="2"/>
    <n v="56991"/>
    <n v="113982"/>
    <x v="1"/>
    <s v="Feb-25"/>
  </r>
  <r>
    <d v="2025-02-28T00:00:00"/>
    <x v="3"/>
    <x v="4"/>
    <x v="3"/>
    <n v="7"/>
    <n v="7831"/>
    <n v="54817"/>
    <x v="1"/>
    <s v="Feb-25"/>
  </r>
  <r>
    <d v="2025-03-01T00:00:00"/>
    <x v="0"/>
    <x v="2"/>
    <x v="6"/>
    <n v="10"/>
    <n v="17928"/>
    <n v="179280"/>
    <x v="2"/>
    <s v="Mar-25"/>
  </r>
  <r>
    <d v="2025-03-01T00:00:00"/>
    <x v="2"/>
    <x v="5"/>
    <x v="3"/>
    <n v="2"/>
    <n v="53588"/>
    <n v="107176"/>
    <x v="2"/>
    <s v="Mar-25"/>
  </r>
  <r>
    <d v="2025-03-01T00:00:00"/>
    <x v="3"/>
    <x v="4"/>
    <x v="1"/>
    <n v="7"/>
    <n v="8296"/>
    <n v="58072"/>
    <x v="2"/>
    <s v="Mar-25"/>
  </r>
  <r>
    <d v="2025-03-01T00:00:00"/>
    <x v="2"/>
    <x v="1"/>
    <x v="5"/>
    <n v="3"/>
    <n v="21068"/>
    <n v="63204"/>
    <x v="2"/>
    <s v="Mar-25"/>
  </r>
  <r>
    <d v="2025-03-01T00:00:00"/>
    <x v="0"/>
    <x v="4"/>
    <x v="2"/>
    <n v="6"/>
    <n v="7880"/>
    <n v="47280"/>
    <x v="2"/>
    <s v="Mar-25"/>
  </r>
  <r>
    <d v="2025-03-02T00:00:00"/>
    <x v="1"/>
    <x v="5"/>
    <x v="6"/>
    <n v="5"/>
    <n v="53334"/>
    <n v="266670"/>
    <x v="2"/>
    <s v="Mar-25"/>
  </r>
  <r>
    <d v="2025-03-02T00:00:00"/>
    <x v="1"/>
    <x v="0"/>
    <x v="1"/>
    <n v="3"/>
    <n v="12541"/>
    <n v="37623"/>
    <x v="2"/>
    <s v="Mar-25"/>
  </r>
  <r>
    <d v="2025-03-02T00:00:00"/>
    <x v="3"/>
    <x v="3"/>
    <x v="4"/>
    <n v="10"/>
    <n v="3550"/>
    <n v="35500"/>
    <x v="2"/>
    <s v="Mar-25"/>
  </r>
  <r>
    <d v="2025-03-03T00:00:00"/>
    <x v="2"/>
    <x v="0"/>
    <x v="5"/>
    <n v="3"/>
    <n v="11927"/>
    <n v="35781"/>
    <x v="2"/>
    <s v="Mar-25"/>
  </r>
  <r>
    <d v="2025-03-03T00:00:00"/>
    <x v="3"/>
    <x v="3"/>
    <x v="0"/>
    <n v="5"/>
    <n v="3531"/>
    <n v="17655"/>
    <x v="2"/>
    <s v="Mar-25"/>
  </r>
  <r>
    <d v="2025-03-03T00:00:00"/>
    <x v="2"/>
    <x v="4"/>
    <x v="1"/>
    <n v="5"/>
    <n v="7969"/>
    <n v="39845"/>
    <x v="2"/>
    <s v="Mar-25"/>
  </r>
  <r>
    <d v="2025-03-03T00:00:00"/>
    <x v="0"/>
    <x v="5"/>
    <x v="5"/>
    <n v="5"/>
    <n v="52672"/>
    <n v="263360"/>
    <x v="2"/>
    <s v="Mar-25"/>
  </r>
  <r>
    <d v="2025-03-03T00:00:00"/>
    <x v="0"/>
    <x v="4"/>
    <x v="3"/>
    <n v="8"/>
    <n v="8064"/>
    <n v="64512"/>
    <x v="2"/>
    <s v="Mar-25"/>
  </r>
  <r>
    <d v="2025-03-03T00:00:00"/>
    <x v="0"/>
    <x v="3"/>
    <x v="2"/>
    <n v="6"/>
    <n v="3536"/>
    <n v="21216"/>
    <x v="2"/>
    <s v="Mar-25"/>
  </r>
  <r>
    <d v="2025-03-04T00:00:00"/>
    <x v="1"/>
    <x v="5"/>
    <x v="4"/>
    <n v="2"/>
    <n v="56710"/>
    <n v="113420"/>
    <x v="2"/>
    <s v="Mar-25"/>
  </r>
  <r>
    <d v="2025-03-04T00:00:00"/>
    <x v="2"/>
    <x v="0"/>
    <x v="1"/>
    <n v="9"/>
    <n v="12175"/>
    <n v="109575"/>
    <x v="2"/>
    <s v="Mar-25"/>
  </r>
  <r>
    <d v="2025-03-04T00:00:00"/>
    <x v="0"/>
    <x v="1"/>
    <x v="4"/>
    <n v="8"/>
    <n v="22052"/>
    <n v="176416"/>
    <x v="2"/>
    <s v="Mar-25"/>
  </r>
  <r>
    <d v="2025-03-04T00:00:00"/>
    <x v="1"/>
    <x v="2"/>
    <x v="5"/>
    <n v="5"/>
    <n v="17797"/>
    <n v="88985"/>
    <x v="2"/>
    <s v="Mar-25"/>
  </r>
  <r>
    <d v="2025-03-04T00:00:00"/>
    <x v="2"/>
    <x v="0"/>
    <x v="7"/>
    <n v="6"/>
    <n v="11479"/>
    <n v="68874"/>
    <x v="2"/>
    <s v="Mar-25"/>
  </r>
  <r>
    <d v="2025-03-04T00:00:00"/>
    <x v="0"/>
    <x v="4"/>
    <x v="3"/>
    <n v="5"/>
    <n v="7801"/>
    <n v="39005"/>
    <x v="2"/>
    <s v="Mar-25"/>
  </r>
  <r>
    <d v="2025-03-05T00:00:00"/>
    <x v="1"/>
    <x v="2"/>
    <x v="1"/>
    <n v="10"/>
    <n v="18294"/>
    <n v="182940"/>
    <x v="2"/>
    <s v="Mar-25"/>
  </r>
  <r>
    <d v="2025-03-05T00:00:00"/>
    <x v="2"/>
    <x v="2"/>
    <x v="3"/>
    <n v="3"/>
    <n v="18171"/>
    <n v="54513"/>
    <x v="2"/>
    <s v="Mar-25"/>
  </r>
  <r>
    <d v="2025-03-05T00:00:00"/>
    <x v="0"/>
    <x v="2"/>
    <x v="3"/>
    <n v="6"/>
    <n v="18563"/>
    <n v="111378"/>
    <x v="2"/>
    <s v="Mar-25"/>
  </r>
  <r>
    <d v="2025-03-05T00:00:00"/>
    <x v="0"/>
    <x v="0"/>
    <x v="3"/>
    <n v="9"/>
    <n v="11834"/>
    <n v="106506"/>
    <x v="2"/>
    <s v="Mar-25"/>
  </r>
  <r>
    <d v="2025-03-05T00:00:00"/>
    <x v="2"/>
    <x v="2"/>
    <x v="6"/>
    <n v="4"/>
    <n v="17715"/>
    <n v="70860"/>
    <x v="2"/>
    <s v="Mar-25"/>
  </r>
  <r>
    <d v="2025-03-05T00:00:00"/>
    <x v="3"/>
    <x v="1"/>
    <x v="2"/>
    <n v="3"/>
    <n v="21240"/>
    <n v="63720"/>
    <x v="2"/>
    <s v="Mar-25"/>
  </r>
  <r>
    <d v="2025-03-06T00:00:00"/>
    <x v="0"/>
    <x v="4"/>
    <x v="7"/>
    <n v="6"/>
    <n v="8301"/>
    <n v="49806"/>
    <x v="2"/>
    <s v="Mar-25"/>
  </r>
  <r>
    <d v="2025-03-06T00:00:00"/>
    <x v="1"/>
    <x v="4"/>
    <x v="3"/>
    <n v="3"/>
    <n v="7729"/>
    <n v="23187"/>
    <x v="2"/>
    <s v="Mar-25"/>
  </r>
  <r>
    <d v="2025-03-06T00:00:00"/>
    <x v="1"/>
    <x v="0"/>
    <x v="4"/>
    <n v="1"/>
    <n v="11893"/>
    <n v="11893"/>
    <x v="2"/>
    <s v="Mar-25"/>
  </r>
  <r>
    <d v="2025-03-06T00:00:00"/>
    <x v="1"/>
    <x v="3"/>
    <x v="0"/>
    <n v="8"/>
    <n v="3406"/>
    <n v="27248"/>
    <x v="2"/>
    <s v="Mar-25"/>
  </r>
  <r>
    <d v="2025-03-07T00:00:00"/>
    <x v="2"/>
    <x v="3"/>
    <x v="2"/>
    <n v="6"/>
    <n v="3562"/>
    <n v="21372"/>
    <x v="2"/>
    <s v="Mar-25"/>
  </r>
  <r>
    <d v="2025-03-07T00:00:00"/>
    <x v="3"/>
    <x v="3"/>
    <x v="0"/>
    <n v="7"/>
    <n v="3501"/>
    <n v="24507"/>
    <x v="2"/>
    <s v="Mar-25"/>
  </r>
  <r>
    <d v="2025-03-07T00:00:00"/>
    <x v="3"/>
    <x v="1"/>
    <x v="2"/>
    <n v="10"/>
    <n v="21204"/>
    <n v="212040"/>
    <x v="2"/>
    <s v="Mar-25"/>
  </r>
  <r>
    <d v="2025-03-08T00:00:00"/>
    <x v="0"/>
    <x v="0"/>
    <x v="4"/>
    <n v="6"/>
    <n v="12065"/>
    <n v="72390"/>
    <x v="2"/>
    <s v="Mar-25"/>
  </r>
  <r>
    <d v="2025-03-08T00:00:00"/>
    <x v="0"/>
    <x v="0"/>
    <x v="1"/>
    <n v="5"/>
    <n v="11500"/>
    <n v="57500"/>
    <x v="2"/>
    <s v="Mar-25"/>
  </r>
  <r>
    <d v="2025-03-08T00:00:00"/>
    <x v="1"/>
    <x v="2"/>
    <x v="4"/>
    <n v="9"/>
    <n v="17365"/>
    <n v="156285"/>
    <x v="2"/>
    <s v="Mar-25"/>
  </r>
  <r>
    <d v="2025-03-08T00:00:00"/>
    <x v="3"/>
    <x v="5"/>
    <x v="2"/>
    <n v="8"/>
    <n v="57115"/>
    <n v="456920"/>
    <x v="2"/>
    <s v="Mar-25"/>
  </r>
  <r>
    <d v="2025-03-09T00:00:00"/>
    <x v="3"/>
    <x v="5"/>
    <x v="3"/>
    <n v="9"/>
    <n v="54306"/>
    <n v="488754"/>
    <x v="2"/>
    <s v="Mar-25"/>
  </r>
  <r>
    <d v="2025-03-09T00:00:00"/>
    <x v="3"/>
    <x v="5"/>
    <x v="5"/>
    <n v="4"/>
    <n v="52405"/>
    <n v="209620"/>
    <x v="2"/>
    <s v="Mar-25"/>
  </r>
  <r>
    <d v="2025-03-10T00:00:00"/>
    <x v="2"/>
    <x v="1"/>
    <x v="6"/>
    <n v="1"/>
    <n v="21531"/>
    <n v="21531"/>
    <x v="2"/>
    <s v="Mar-25"/>
  </r>
  <r>
    <d v="2025-03-10T00:00:00"/>
    <x v="3"/>
    <x v="0"/>
    <x v="6"/>
    <n v="8"/>
    <n v="11938"/>
    <n v="95504"/>
    <x v="2"/>
    <s v="Mar-25"/>
  </r>
  <r>
    <d v="2025-03-11T00:00:00"/>
    <x v="0"/>
    <x v="5"/>
    <x v="0"/>
    <n v="4"/>
    <n v="56842"/>
    <n v="227368"/>
    <x v="2"/>
    <s v="Mar-25"/>
  </r>
  <r>
    <d v="2025-03-11T00:00:00"/>
    <x v="3"/>
    <x v="5"/>
    <x v="0"/>
    <n v="4"/>
    <n v="53906"/>
    <n v="215624"/>
    <x v="2"/>
    <s v="Mar-25"/>
  </r>
  <r>
    <d v="2025-03-12T00:00:00"/>
    <x v="1"/>
    <x v="3"/>
    <x v="4"/>
    <n v="2"/>
    <n v="3363"/>
    <n v="6726"/>
    <x v="2"/>
    <s v="Mar-25"/>
  </r>
  <r>
    <d v="2025-03-12T00:00:00"/>
    <x v="3"/>
    <x v="4"/>
    <x v="7"/>
    <n v="9"/>
    <n v="8060"/>
    <n v="72540"/>
    <x v="2"/>
    <s v="Mar-25"/>
  </r>
  <r>
    <d v="2025-03-13T00:00:00"/>
    <x v="2"/>
    <x v="3"/>
    <x v="7"/>
    <n v="10"/>
    <n v="3448"/>
    <n v="34480"/>
    <x v="2"/>
    <s v="Mar-25"/>
  </r>
  <r>
    <d v="2025-03-13T00:00:00"/>
    <x v="3"/>
    <x v="1"/>
    <x v="1"/>
    <n v="9"/>
    <n v="23044"/>
    <n v="207396"/>
    <x v="2"/>
    <s v="Mar-25"/>
  </r>
  <r>
    <d v="2025-03-13T00:00:00"/>
    <x v="0"/>
    <x v="4"/>
    <x v="7"/>
    <n v="7"/>
    <n v="8298"/>
    <n v="58086"/>
    <x v="2"/>
    <s v="Mar-25"/>
  </r>
  <r>
    <d v="2025-03-14T00:00:00"/>
    <x v="3"/>
    <x v="2"/>
    <x v="0"/>
    <n v="1"/>
    <n v="17742"/>
    <n v="17742"/>
    <x v="2"/>
    <s v="Mar-25"/>
  </r>
  <r>
    <d v="2025-03-14T00:00:00"/>
    <x v="0"/>
    <x v="2"/>
    <x v="2"/>
    <n v="2"/>
    <n v="18488"/>
    <n v="36976"/>
    <x v="2"/>
    <s v="Mar-25"/>
  </r>
  <r>
    <d v="2025-03-15T00:00:00"/>
    <x v="1"/>
    <x v="5"/>
    <x v="5"/>
    <n v="9"/>
    <n v="54112"/>
    <n v="487008"/>
    <x v="2"/>
    <s v="Mar-25"/>
  </r>
  <r>
    <d v="2025-03-15T00:00:00"/>
    <x v="1"/>
    <x v="0"/>
    <x v="4"/>
    <n v="8"/>
    <n v="12158"/>
    <n v="97264"/>
    <x v="2"/>
    <s v="Mar-25"/>
  </r>
  <r>
    <d v="2025-03-15T00:00:00"/>
    <x v="1"/>
    <x v="5"/>
    <x v="4"/>
    <n v="1"/>
    <n v="53863"/>
    <n v="53863"/>
    <x v="2"/>
    <s v="Mar-25"/>
  </r>
  <r>
    <d v="2025-03-15T00:00:00"/>
    <x v="0"/>
    <x v="1"/>
    <x v="7"/>
    <n v="6"/>
    <n v="22953"/>
    <n v="137718"/>
    <x v="2"/>
    <s v="Mar-25"/>
  </r>
  <r>
    <d v="2025-03-16T00:00:00"/>
    <x v="3"/>
    <x v="4"/>
    <x v="4"/>
    <n v="5"/>
    <n v="7629"/>
    <n v="38145"/>
    <x v="2"/>
    <s v="Mar-25"/>
  </r>
  <r>
    <d v="2025-03-16T00:00:00"/>
    <x v="1"/>
    <x v="2"/>
    <x v="5"/>
    <n v="1"/>
    <n v="18658"/>
    <n v="18658"/>
    <x v="2"/>
    <s v="Mar-25"/>
  </r>
  <r>
    <d v="2025-03-16T00:00:00"/>
    <x v="2"/>
    <x v="2"/>
    <x v="1"/>
    <n v="6"/>
    <n v="17886"/>
    <n v="107316"/>
    <x v="2"/>
    <s v="Mar-25"/>
  </r>
  <r>
    <d v="2025-03-16T00:00:00"/>
    <x v="3"/>
    <x v="0"/>
    <x v="4"/>
    <n v="7"/>
    <n v="11806"/>
    <n v="82642"/>
    <x v="2"/>
    <s v="Mar-25"/>
  </r>
  <r>
    <d v="2025-03-16T00:00:00"/>
    <x v="1"/>
    <x v="3"/>
    <x v="4"/>
    <n v="6"/>
    <n v="3648"/>
    <n v="21888"/>
    <x v="2"/>
    <s v="Mar-25"/>
  </r>
  <r>
    <d v="2025-03-16T00:00:00"/>
    <x v="2"/>
    <x v="5"/>
    <x v="3"/>
    <n v="2"/>
    <n v="54618"/>
    <n v="109236"/>
    <x v="2"/>
    <s v="Mar-25"/>
  </r>
  <r>
    <d v="2025-03-17T00:00:00"/>
    <x v="2"/>
    <x v="2"/>
    <x v="1"/>
    <n v="2"/>
    <n v="17690"/>
    <n v="35380"/>
    <x v="2"/>
    <s v="Mar-25"/>
  </r>
  <r>
    <d v="2025-03-17T00:00:00"/>
    <x v="2"/>
    <x v="2"/>
    <x v="4"/>
    <n v="10"/>
    <n v="18391"/>
    <n v="183910"/>
    <x v="2"/>
    <s v="Mar-25"/>
  </r>
  <r>
    <d v="2025-03-17T00:00:00"/>
    <x v="1"/>
    <x v="0"/>
    <x v="4"/>
    <n v="6"/>
    <n v="11936"/>
    <n v="71616"/>
    <x v="2"/>
    <s v="Mar-25"/>
  </r>
  <r>
    <d v="2025-03-18T00:00:00"/>
    <x v="3"/>
    <x v="2"/>
    <x v="7"/>
    <n v="2"/>
    <n v="18308"/>
    <n v="36616"/>
    <x v="2"/>
    <s v="Mar-25"/>
  </r>
  <r>
    <d v="2025-03-18T00:00:00"/>
    <x v="3"/>
    <x v="2"/>
    <x v="6"/>
    <n v="1"/>
    <n v="17357"/>
    <n v="17357"/>
    <x v="2"/>
    <s v="Mar-25"/>
  </r>
  <r>
    <d v="2025-03-18T00:00:00"/>
    <x v="3"/>
    <x v="5"/>
    <x v="6"/>
    <n v="2"/>
    <n v="53547"/>
    <n v="107094"/>
    <x v="2"/>
    <s v="Mar-25"/>
  </r>
  <r>
    <d v="2025-03-18T00:00:00"/>
    <x v="2"/>
    <x v="2"/>
    <x v="3"/>
    <n v="10"/>
    <n v="17158"/>
    <n v="171580"/>
    <x v="2"/>
    <s v="Mar-25"/>
  </r>
  <r>
    <d v="2025-03-19T00:00:00"/>
    <x v="3"/>
    <x v="2"/>
    <x v="5"/>
    <n v="8"/>
    <n v="18473"/>
    <n v="147784"/>
    <x v="2"/>
    <s v="Mar-25"/>
  </r>
  <r>
    <d v="2025-03-19T00:00:00"/>
    <x v="1"/>
    <x v="4"/>
    <x v="5"/>
    <n v="7"/>
    <n v="7851"/>
    <n v="54957"/>
    <x v="2"/>
    <s v="Mar-25"/>
  </r>
  <r>
    <d v="2025-03-19T00:00:00"/>
    <x v="2"/>
    <x v="1"/>
    <x v="1"/>
    <n v="1"/>
    <n v="22518"/>
    <n v="22518"/>
    <x v="2"/>
    <s v="Mar-25"/>
  </r>
  <r>
    <d v="2025-03-20T00:00:00"/>
    <x v="3"/>
    <x v="4"/>
    <x v="1"/>
    <n v="5"/>
    <n v="8219"/>
    <n v="41095"/>
    <x v="2"/>
    <s v="Mar-25"/>
  </r>
  <r>
    <d v="2025-03-20T00:00:00"/>
    <x v="3"/>
    <x v="1"/>
    <x v="0"/>
    <n v="8"/>
    <n v="21340"/>
    <n v="170720"/>
    <x v="2"/>
    <s v="Mar-25"/>
  </r>
  <r>
    <d v="2025-03-20T00:00:00"/>
    <x v="1"/>
    <x v="5"/>
    <x v="4"/>
    <n v="3"/>
    <n v="57192"/>
    <n v="171576"/>
    <x v="2"/>
    <s v="Mar-25"/>
  </r>
  <r>
    <d v="2025-03-20T00:00:00"/>
    <x v="3"/>
    <x v="5"/>
    <x v="5"/>
    <n v="6"/>
    <n v="56152"/>
    <n v="336912"/>
    <x v="2"/>
    <s v="Mar-25"/>
  </r>
  <r>
    <d v="2025-03-20T00:00:00"/>
    <x v="2"/>
    <x v="2"/>
    <x v="6"/>
    <n v="3"/>
    <n v="18528"/>
    <n v="55584"/>
    <x v="2"/>
    <s v="Mar-25"/>
  </r>
  <r>
    <d v="2025-03-21T00:00:00"/>
    <x v="1"/>
    <x v="5"/>
    <x v="2"/>
    <n v="3"/>
    <n v="53552"/>
    <n v="160656"/>
    <x v="2"/>
    <s v="Mar-25"/>
  </r>
  <r>
    <d v="2025-03-21T00:00:00"/>
    <x v="3"/>
    <x v="5"/>
    <x v="5"/>
    <n v="9"/>
    <n v="55397"/>
    <n v="498573"/>
    <x v="2"/>
    <s v="Mar-25"/>
  </r>
  <r>
    <d v="2025-03-21T00:00:00"/>
    <x v="3"/>
    <x v="4"/>
    <x v="6"/>
    <n v="10"/>
    <n v="8307"/>
    <n v="83070"/>
    <x v="2"/>
    <s v="Mar-25"/>
  </r>
  <r>
    <d v="2025-03-21T00:00:00"/>
    <x v="0"/>
    <x v="2"/>
    <x v="3"/>
    <n v="8"/>
    <n v="18046"/>
    <n v="144368"/>
    <x v="2"/>
    <s v="Mar-25"/>
  </r>
  <r>
    <d v="2025-03-21T00:00:00"/>
    <x v="3"/>
    <x v="4"/>
    <x v="1"/>
    <n v="3"/>
    <n v="8377"/>
    <n v="25131"/>
    <x v="2"/>
    <s v="Mar-25"/>
  </r>
  <r>
    <d v="2025-03-21T00:00:00"/>
    <x v="0"/>
    <x v="3"/>
    <x v="4"/>
    <n v="9"/>
    <n v="3445"/>
    <n v="31005"/>
    <x v="2"/>
    <s v="Mar-25"/>
  </r>
  <r>
    <d v="2025-03-22T00:00:00"/>
    <x v="1"/>
    <x v="1"/>
    <x v="3"/>
    <n v="9"/>
    <n v="22903"/>
    <n v="206127"/>
    <x v="2"/>
    <s v="Mar-25"/>
  </r>
  <r>
    <d v="2025-03-22T00:00:00"/>
    <x v="0"/>
    <x v="5"/>
    <x v="6"/>
    <n v="5"/>
    <n v="53155"/>
    <n v="265775"/>
    <x v="2"/>
    <s v="Mar-25"/>
  </r>
  <r>
    <d v="2025-03-22T00:00:00"/>
    <x v="2"/>
    <x v="0"/>
    <x v="2"/>
    <n v="6"/>
    <n v="12536"/>
    <n v="75216"/>
    <x v="2"/>
    <s v="Mar-25"/>
  </r>
  <r>
    <d v="2025-03-22T00:00:00"/>
    <x v="2"/>
    <x v="5"/>
    <x v="0"/>
    <n v="4"/>
    <n v="55742"/>
    <n v="222968"/>
    <x v="2"/>
    <s v="Mar-25"/>
  </r>
  <r>
    <d v="2025-03-22T00:00:00"/>
    <x v="2"/>
    <x v="1"/>
    <x v="0"/>
    <n v="10"/>
    <n v="22073"/>
    <n v="220730"/>
    <x v="2"/>
    <s v="Mar-25"/>
  </r>
  <r>
    <d v="2025-03-22T00:00:00"/>
    <x v="1"/>
    <x v="4"/>
    <x v="6"/>
    <n v="3"/>
    <n v="8126"/>
    <n v="24378"/>
    <x v="2"/>
    <s v="Mar-25"/>
  </r>
  <r>
    <d v="2025-03-23T00:00:00"/>
    <x v="2"/>
    <x v="4"/>
    <x v="7"/>
    <n v="1"/>
    <n v="7664"/>
    <n v="7664"/>
    <x v="2"/>
    <s v="Mar-25"/>
  </r>
  <r>
    <d v="2025-03-23T00:00:00"/>
    <x v="2"/>
    <x v="0"/>
    <x v="2"/>
    <n v="10"/>
    <n v="11899"/>
    <n v="118990"/>
    <x v="2"/>
    <s v="Mar-25"/>
  </r>
  <r>
    <d v="2025-03-23T00:00:00"/>
    <x v="0"/>
    <x v="3"/>
    <x v="0"/>
    <n v="5"/>
    <n v="3494"/>
    <n v="17470"/>
    <x v="2"/>
    <s v="Mar-25"/>
  </r>
  <r>
    <d v="2025-03-23T00:00:00"/>
    <x v="3"/>
    <x v="2"/>
    <x v="4"/>
    <n v="2"/>
    <n v="18339"/>
    <n v="36678"/>
    <x v="2"/>
    <s v="Mar-25"/>
  </r>
  <r>
    <d v="2025-03-23T00:00:00"/>
    <x v="1"/>
    <x v="3"/>
    <x v="3"/>
    <n v="8"/>
    <n v="3487"/>
    <n v="27896"/>
    <x v="2"/>
    <s v="Mar-25"/>
  </r>
  <r>
    <d v="2025-03-23T00:00:00"/>
    <x v="2"/>
    <x v="4"/>
    <x v="6"/>
    <n v="6"/>
    <n v="8289"/>
    <n v="49734"/>
    <x v="2"/>
    <s v="Mar-25"/>
  </r>
  <r>
    <d v="2025-03-24T00:00:00"/>
    <x v="2"/>
    <x v="3"/>
    <x v="6"/>
    <n v="6"/>
    <n v="3505"/>
    <n v="21030"/>
    <x v="2"/>
    <s v="Mar-25"/>
  </r>
  <r>
    <d v="2025-03-24T00:00:00"/>
    <x v="0"/>
    <x v="2"/>
    <x v="2"/>
    <n v="8"/>
    <n v="17320"/>
    <n v="138560"/>
    <x v="2"/>
    <s v="Mar-25"/>
  </r>
  <r>
    <d v="2025-03-24T00:00:00"/>
    <x v="3"/>
    <x v="1"/>
    <x v="6"/>
    <n v="2"/>
    <n v="21011"/>
    <n v="42022"/>
    <x v="2"/>
    <s v="Mar-25"/>
  </r>
  <r>
    <d v="2025-03-24T00:00:00"/>
    <x v="3"/>
    <x v="4"/>
    <x v="3"/>
    <n v="4"/>
    <n v="8370"/>
    <n v="33480"/>
    <x v="2"/>
    <s v="Mar-25"/>
  </r>
  <r>
    <d v="2025-03-25T00:00:00"/>
    <x v="2"/>
    <x v="4"/>
    <x v="5"/>
    <n v="4"/>
    <n v="8210"/>
    <n v="32840"/>
    <x v="2"/>
    <s v="Mar-25"/>
  </r>
  <r>
    <d v="2025-03-25T00:00:00"/>
    <x v="3"/>
    <x v="4"/>
    <x v="4"/>
    <n v="8"/>
    <n v="8303"/>
    <n v="66424"/>
    <x v="2"/>
    <s v="Mar-25"/>
  </r>
  <r>
    <d v="2025-03-25T00:00:00"/>
    <x v="3"/>
    <x v="5"/>
    <x v="1"/>
    <n v="7"/>
    <n v="55029"/>
    <n v="385203"/>
    <x v="2"/>
    <s v="Mar-25"/>
  </r>
  <r>
    <d v="2025-03-26T00:00:00"/>
    <x v="1"/>
    <x v="4"/>
    <x v="5"/>
    <n v="1"/>
    <n v="7640"/>
    <n v="7640"/>
    <x v="2"/>
    <s v="Mar-25"/>
  </r>
  <r>
    <d v="2025-03-26T00:00:00"/>
    <x v="3"/>
    <x v="4"/>
    <x v="4"/>
    <n v="5"/>
    <n v="8029"/>
    <n v="40145"/>
    <x v="2"/>
    <s v="Mar-25"/>
  </r>
  <r>
    <d v="2025-03-26T00:00:00"/>
    <x v="0"/>
    <x v="3"/>
    <x v="6"/>
    <n v="5"/>
    <n v="3579"/>
    <n v="17895"/>
    <x v="2"/>
    <s v="Mar-25"/>
  </r>
  <r>
    <d v="2025-03-27T00:00:00"/>
    <x v="2"/>
    <x v="5"/>
    <x v="3"/>
    <n v="1"/>
    <n v="55386"/>
    <n v="55386"/>
    <x v="2"/>
    <s v="Mar-25"/>
  </r>
  <r>
    <d v="2025-03-27T00:00:00"/>
    <x v="1"/>
    <x v="2"/>
    <x v="0"/>
    <n v="2"/>
    <n v="17795"/>
    <n v="35590"/>
    <x v="2"/>
    <s v="Mar-25"/>
  </r>
  <r>
    <d v="2025-03-27T00:00:00"/>
    <x v="3"/>
    <x v="4"/>
    <x v="0"/>
    <n v="10"/>
    <n v="8144"/>
    <n v="81440"/>
    <x v="2"/>
    <s v="Mar-25"/>
  </r>
  <r>
    <d v="2025-03-27T00:00:00"/>
    <x v="0"/>
    <x v="1"/>
    <x v="1"/>
    <n v="7"/>
    <n v="21721"/>
    <n v="152047"/>
    <x v="2"/>
    <s v="Mar-25"/>
  </r>
  <r>
    <d v="2025-03-27T00:00:00"/>
    <x v="2"/>
    <x v="4"/>
    <x v="5"/>
    <n v="3"/>
    <n v="7759"/>
    <n v="23277"/>
    <x v="2"/>
    <s v="Mar-25"/>
  </r>
  <r>
    <d v="2025-03-28T00:00:00"/>
    <x v="3"/>
    <x v="4"/>
    <x v="7"/>
    <n v="1"/>
    <n v="7631"/>
    <n v="7631"/>
    <x v="2"/>
    <s v="Mar-25"/>
  </r>
  <r>
    <d v="2025-03-28T00:00:00"/>
    <x v="2"/>
    <x v="3"/>
    <x v="4"/>
    <n v="3"/>
    <n v="3537"/>
    <n v="10611"/>
    <x v="2"/>
    <s v="Mar-25"/>
  </r>
  <r>
    <d v="2025-03-28T00:00:00"/>
    <x v="1"/>
    <x v="2"/>
    <x v="5"/>
    <n v="3"/>
    <n v="17807"/>
    <n v="53421"/>
    <x v="2"/>
    <s v="Mar-25"/>
  </r>
  <r>
    <d v="2025-03-28T00:00:00"/>
    <x v="2"/>
    <x v="4"/>
    <x v="5"/>
    <n v="9"/>
    <n v="8262"/>
    <n v="74358"/>
    <x v="2"/>
    <s v="Mar-25"/>
  </r>
  <r>
    <d v="2025-03-28T00:00:00"/>
    <x v="3"/>
    <x v="0"/>
    <x v="0"/>
    <n v="8"/>
    <n v="12378"/>
    <n v="99024"/>
    <x v="2"/>
    <s v="Mar-25"/>
  </r>
  <r>
    <d v="2025-03-28T00:00:00"/>
    <x v="2"/>
    <x v="2"/>
    <x v="1"/>
    <n v="7"/>
    <n v="18150"/>
    <n v="127050"/>
    <x v="2"/>
    <s v="Mar-25"/>
  </r>
  <r>
    <d v="2025-03-29T00:00:00"/>
    <x v="3"/>
    <x v="2"/>
    <x v="2"/>
    <n v="1"/>
    <n v="18150"/>
    <n v="18150"/>
    <x v="2"/>
    <s v="Mar-25"/>
  </r>
  <r>
    <d v="2025-03-29T00:00:00"/>
    <x v="1"/>
    <x v="4"/>
    <x v="3"/>
    <n v="3"/>
    <n v="8257"/>
    <n v="24771"/>
    <x v="2"/>
    <s v="Mar-25"/>
  </r>
  <r>
    <d v="2025-03-30T00:00:00"/>
    <x v="0"/>
    <x v="4"/>
    <x v="1"/>
    <n v="4"/>
    <n v="7615"/>
    <n v="30460"/>
    <x v="2"/>
    <s v="Mar-25"/>
  </r>
  <r>
    <d v="2025-03-30T00:00:00"/>
    <x v="2"/>
    <x v="3"/>
    <x v="6"/>
    <n v="7"/>
    <n v="3566"/>
    <n v="24962"/>
    <x v="2"/>
    <s v="Mar-25"/>
  </r>
  <r>
    <d v="2025-03-30T00:00:00"/>
    <x v="3"/>
    <x v="4"/>
    <x v="4"/>
    <n v="1"/>
    <n v="8164"/>
    <n v="8164"/>
    <x v="2"/>
    <s v="Mar-25"/>
  </r>
  <r>
    <d v="2025-03-31T00:00:00"/>
    <x v="1"/>
    <x v="4"/>
    <x v="5"/>
    <n v="8"/>
    <n v="8020"/>
    <n v="64160"/>
    <x v="2"/>
    <s v="Mar-25"/>
  </r>
  <r>
    <d v="2025-03-31T00:00:00"/>
    <x v="2"/>
    <x v="1"/>
    <x v="4"/>
    <n v="9"/>
    <n v="21653"/>
    <n v="194877"/>
    <x v="2"/>
    <s v="Mar-25"/>
  </r>
  <r>
    <d v="2025-03-31T00:00:00"/>
    <x v="2"/>
    <x v="0"/>
    <x v="0"/>
    <n v="10"/>
    <n v="11981"/>
    <n v="119810"/>
    <x v="2"/>
    <s v="Mar-25"/>
  </r>
  <r>
    <d v="2025-03-31T00:00:00"/>
    <x v="1"/>
    <x v="2"/>
    <x v="0"/>
    <n v="4"/>
    <n v="18794"/>
    <n v="75176"/>
    <x v="2"/>
    <s v="Mar-25"/>
  </r>
  <r>
    <d v="2025-03-31T00:00:00"/>
    <x v="2"/>
    <x v="2"/>
    <x v="2"/>
    <n v="8"/>
    <n v="17670"/>
    <n v="141360"/>
    <x v="2"/>
    <s v="Mar-25"/>
  </r>
  <r>
    <d v="2025-03-31T00:00:00"/>
    <x v="2"/>
    <x v="4"/>
    <x v="0"/>
    <n v="5"/>
    <n v="7697"/>
    <n v="38485"/>
    <x v="2"/>
    <s v="Mar-25"/>
  </r>
  <r>
    <d v="2025-04-01T00:00:00"/>
    <x v="3"/>
    <x v="3"/>
    <x v="5"/>
    <n v="3"/>
    <n v="3426"/>
    <n v="10278"/>
    <x v="3"/>
    <s v="Apr-25"/>
  </r>
  <r>
    <d v="2025-04-01T00:00:00"/>
    <x v="2"/>
    <x v="0"/>
    <x v="1"/>
    <n v="6"/>
    <n v="12508"/>
    <n v="75048"/>
    <x v="3"/>
    <s v="Apr-25"/>
  </r>
  <r>
    <d v="2025-04-01T00:00:00"/>
    <x v="2"/>
    <x v="0"/>
    <x v="4"/>
    <n v="4"/>
    <n v="11642"/>
    <n v="46568"/>
    <x v="3"/>
    <s v="Apr-25"/>
  </r>
  <r>
    <d v="2025-04-01T00:00:00"/>
    <x v="2"/>
    <x v="4"/>
    <x v="0"/>
    <n v="3"/>
    <n v="7687"/>
    <n v="23061"/>
    <x v="3"/>
    <s v="Apr-25"/>
  </r>
  <r>
    <d v="2025-04-01T00:00:00"/>
    <x v="1"/>
    <x v="1"/>
    <x v="7"/>
    <n v="9"/>
    <n v="21396"/>
    <n v="192564"/>
    <x v="3"/>
    <s v="Apr-25"/>
  </r>
  <r>
    <d v="2025-04-01T00:00:00"/>
    <x v="1"/>
    <x v="5"/>
    <x v="1"/>
    <n v="7"/>
    <n v="54066"/>
    <n v="378462"/>
    <x v="3"/>
    <s v="Apr-25"/>
  </r>
  <r>
    <d v="2025-04-02T00:00:00"/>
    <x v="0"/>
    <x v="0"/>
    <x v="6"/>
    <n v="1"/>
    <n v="12557"/>
    <n v="12557"/>
    <x v="3"/>
    <s v="Apr-25"/>
  </r>
  <r>
    <d v="2025-04-02T00:00:00"/>
    <x v="1"/>
    <x v="3"/>
    <x v="4"/>
    <n v="8"/>
    <n v="3552"/>
    <n v="28416"/>
    <x v="3"/>
    <s v="Apr-25"/>
  </r>
  <r>
    <d v="2025-04-02T00:00:00"/>
    <x v="2"/>
    <x v="2"/>
    <x v="0"/>
    <n v="1"/>
    <n v="18734"/>
    <n v="18734"/>
    <x v="3"/>
    <s v="Apr-25"/>
  </r>
  <r>
    <d v="2025-04-02T00:00:00"/>
    <x v="0"/>
    <x v="0"/>
    <x v="2"/>
    <n v="9"/>
    <n v="12286"/>
    <n v="110574"/>
    <x v="3"/>
    <s v="Apr-25"/>
  </r>
  <r>
    <d v="2025-04-02T00:00:00"/>
    <x v="0"/>
    <x v="1"/>
    <x v="3"/>
    <n v="3"/>
    <n v="22954"/>
    <n v="68862"/>
    <x v="3"/>
    <s v="Apr-25"/>
  </r>
  <r>
    <d v="2025-04-03T00:00:00"/>
    <x v="3"/>
    <x v="3"/>
    <x v="6"/>
    <n v="5"/>
    <n v="3631"/>
    <n v="18155"/>
    <x v="3"/>
    <s v="Apr-25"/>
  </r>
  <r>
    <d v="2025-04-03T00:00:00"/>
    <x v="0"/>
    <x v="2"/>
    <x v="1"/>
    <n v="6"/>
    <n v="17612"/>
    <n v="105672"/>
    <x v="3"/>
    <s v="Apr-25"/>
  </r>
  <r>
    <d v="2025-04-04T00:00:00"/>
    <x v="3"/>
    <x v="1"/>
    <x v="4"/>
    <n v="5"/>
    <n v="21324"/>
    <n v="106620"/>
    <x v="3"/>
    <s v="Apr-25"/>
  </r>
  <r>
    <d v="2025-04-04T00:00:00"/>
    <x v="0"/>
    <x v="2"/>
    <x v="6"/>
    <n v="8"/>
    <n v="18266"/>
    <n v="146128"/>
    <x v="3"/>
    <s v="Apr-25"/>
  </r>
  <r>
    <d v="2025-04-04T00:00:00"/>
    <x v="1"/>
    <x v="5"/>
    <x v="5"/>
    <n v="5"/>
    <n v="55372"/>
    <n v="276860"/>
    <x v="3"/>
    <s v="Apr-25"/>
  </r>
  <r>
    <d v="2025-04-04T00:00:00"/>
    <x v="1"/>
    <x v="1"/>
    <x v="3"/>
    <n v="7"/>
    <n v="22033"/>
    <n v="154231"/>
    <x v="3"/>
    <s v="Apr-25"/>
  </r>
  <r>
    <d v="2025-04-04T00:00:00"/>
    <x v="0"/>
    <x v="3"/>
    <x v="1"/>
    <n v="3"/>
    <n v="3668"/>
    <n v="11004"/>
    <x v="3"/>
    <s v="Apr-25"/>
  </r>
  <r>
    <d v="2025-04-04T00:00:00"/>
    <x v="3"/>
    <x v="2"/>
    <x v="2"/>
    <n v="1"/>
    <n v="17569"/>
    <n v="17569"/>
    <x v="3"/>
    <s v="Apr-25"/>
  </r>
  <r>
    <d v="2025-04-05T00:00:00"/>
    <x v="3"/>
    <x v="2"/>
    <x v="5"/>
    <n v="5"/>
    <n v="18148"/>
    <n v="90740"/>
    <x v="3"/>
    <s v="Apr-25"/>
  </r>
  <r>
    <d v="2025-04-05T00:00:00"/>
    <x v="0"/>
    <x v="2"/>
    <x v="5"/>
    <n v="4"/>
    <n v="17211"/>
    <n v="68844"/>
    <x v="3"/>
    <s v="Apr-25"/>
  </r>
  <r>
    <d v="2025-04-05T00:00:00"/>
    <x v="0"/>
    <x v="3"/>
    <x v="0"/>
    <n v="3"/>
    <n v="3466"/>
    <n v="10398"/>
    <x v="3"/>
    <s v="Apr-25"/>
  </r>
  <r>
    <d v="2025-04-06T00:00:00"/>
    <x v="2"/>
    <x v="0"/>
    <x v="1"/>
    <n v="5"/>
    <n v="11841"/>
    <n v="59205"/>
    <x v="3"/>
    <s v="Apr-25"/>
  </r>
  <r>
    <d v="2025-04-06T00:00:00"/>
    <x v="1"/>
    <x v="1"/>
    <x v="6"/>
    <n v="8"/>
    <n v="21237"/>
    <n v="169896"/>
    <x v="3"/>
    <s v="Apr-25"/>
  </r>
  <r>
    <d v="2025-04-06T00:00:00"/>
    <x v="2"/>
    <x v="3"/>
    <x v="4"/>
    <n v="9"/>
    <n v="3605"/>
    <n v="32445"/>
    <x v="3"/>
    <s v="Apr-25"/>
  </r>
  <r>
    <d v="2025-04-06T00:00:00"/>
    <x v="1"/>
    <x v="1"/>
    <x v="1"/>
    <n v="9"/>
    <n v="21882"/>
    <n v="196938"/>
    <x v="3"/>
    <s v="Apr-25"/>
  </r>
  <r>
    <d v="2025-04-06T00:00:00"/>
    <x v="2"/>
    <x v="5"/>
    <x v="1"/>
    <n v="1"/>
    <n v="56808"/>
    <n v="56808"/>
    <x v="3"/>
    <s v="Apr-25"/>
  </r>
  <r>
    <d v="2025-04-06T00:00:00"/>
    <x v="1"/>
    <x v="4"/>
    <x v="6"/>
    <n v="3"/>
    <n v="7862"/>
    <n v="23586"/>
    <x v="3"/>
    <s v="Apr-25"/>
  </r>
  <r>
    <d v="2025-04-07T00:00:00"/>
    <x v="3"/>
    <x v="5"/>
    <x v="2"/>
    <n v="10"/>
    <n v="54938"/>
    <n v="549380"/>
    <x v="3"/>
    <s v="Apr-25"/>
  </r>
  <r>
    <d v="2025-04-07T00:00:00"/>
    <x v="3"/>
    <x v="5"/>
    <x v="4"/>
    <n v="3"/>
    <n v="55072"/>
    <n v="165216"/>
    <x v="3"/>
    <s v="Apr-25"/>
  </r>
  <r>
    <d v="2025-04-07T00:00:00"/>
    <x v="3"/>
    <x v="4"/>
    <x v="7"/>
    <n v="9"/>
    <n v="7969"/>
    <n v="71721"/>
    <x v="3"/>
    <s v="Apr-25"/>
  </r>
  <r>
    <d v="2025-04-07T00:00:00"/>
    <x v="2"/>
    <x v="0"/>
    <x v="7"/>
    <n v="7"/>
    <n v="11705"/>
    <n v="81935"/>
    <x v="3"/>
    <s v="Apr-25"/>
  </r>
  <r>
    <d v="2025-04-07T00:00:00"/>
    <x v="0"/>
    <x v="0"/>
    <x v="2"/>
    <n v="10"/>
    <n v="11487"/>
    <n v="114870"/>
    <x v="3"/>
    <s v="Apr-25"/>
  </r>
  <r>
    <d v="2025-04-07T00:00:00"/>
    <x v="3"/>
    <x v="2"/>
    <x v="1"/>
    <n v="9"/>
    <n v="18889"/>
    <n v="170001"/>
    <x v="3"/>
    <s v="Apr-25"/>
  </r>
  <r>
    <d v="2025-04-08T00:00:00"/>
    <x v="3"/>
    <x v="5"/>
    <x v="0"/>
    <n v="7"/>
    <n v="53239"/>
    <n v="372673"/>
    <x v="3"/>
    <s v="Apr-25"/>
  </r>
  <r>
    <d v="2025-04-08T00:00:00"/>
    <x v="1"/>
    <x v="0"/>
    <x v="3"/>
    <n v="6"/>
    <n v="12591"/>
    <n v="75546"/>
    <x v="3"/>
    <s v="Apr-25"/>
  </r>
  <r>
    <d v="2025-04-09T00:00:00"/>
    <x v="3"/>
    <x v="3"/>
    <x v="3"/>
    <n v="2"/>
    <n v="3563"/>
    <n v="7126"/>
    <x v="3"/>
    <s v="Apr-25"/>
  </r>
  <r>
    <d v="2025-04-09T00:00:00"/>
    <x v="1"/>
    <x v="0"/>
    <x v="5"/>
    <n v="2"/>
    <n v="11614"/>
    <n v="23228"/>
    <x v="3"/>
    <s v="Apr-25"/>
  </r>
  <r>
    <d v="2025-04-09T00:00:00"/>
    <x v="3"/>
    <x v="4"/>
    <x v="6"/>
    <n v="4"/>
    <n v="8267"/>
    <n v="33068"/>
    <x v="3"/>
    <s v="Apr-25"/>
  </r>
  <r>
    <d v="2025-04-09T00:00:00"/>
    <x v="0"/>
    <x v="2"/>
    <x v="4"/>
    <n v="9"/>
    <n v="17863"/>
    <n v="160767"/>
    <x v="3"/>
    <s v="Apr-25"/>
  </r>
  <r>
    <d v="2025-04-09T00:00:00"/>
    <x v="3"/>
    <x v="1"/>
    <x v="2"/>
    <n v="8"/>
    <n v="21661"/>
    <n v="173288"/>
    <x v="3"/>
    <s v="Apr-25"/>
  </r>
  <r>
    <d v="2025-04-10T00:00:00"/>
    <x v="1"/>
    <x v="0"/>
    <x v="1"/>
    <n v="1"/>
    <n v="12371"/>
    <n v="12371"/>
    <x v="3"/>
    <s v="Apr-25"/>
  </r>
  <r>
    <d v="2025-04-10T00:00:00"/>
    <x v="3"/>
    <x v="4"/>
    <x v="7"/>
    <n v="4"/>
    <n v="7764"/>
    <n v="31056"/>
    <x v="3"/>
    <s v="Apr-25"/>
  </r>
  <r>
    <d v="2025-04-10T00:00:00"/>
    <x v="0"/>
    <x v="4"/>
    <x v="7"/>
    <n v="8"/>
    <n v="8078"/>
    <n v="64624"/>
    <x v="3"/>
    <s v="Apr-25"/>
  </r>
  <r>
    <d v="2025-04-10T00:00:00"/>
    <x v="0"/>
    <x v="1"/>
    <x v="7"/>
    <n v="7"/>
    <n v="21865"/>
    <n v="153055"/>
    <x v="3"/>
    <s v="Apr-25"/>
  </r>
  <r>
    <d v="2025-04-11T00:00:00"/>
    <x v="1"/>
    <x v="5"/>
    <x v="6"/>
    <n v="9"/>
    <n v="57714"/>
    <n v="519426"/>
    <x v="3"/>
    <s v="Apr-25"/>
  </r>
  <r>
    <d v="2025-04-11T00:00:00"/>
    <x v="1"/>
    <x v="0"/>
    <x v="5"/>
    <n v="10"/>
    <n v="12117"/>
    <n v="121170"/>
    <x v="3"/>
    <s v="Apr-25"/>
  </r>
  <r>
    <d v="2025-04-11T00:00:00"/>
    <x v="2"/>
    <x v="1"/>
    <x v="0"/>
    <n v="3"/>
    <n v="23068"/>
    <n v="69204"/>
    <x v="3"/>
    <s v="Apr-25"/>
  </r>
  <r>
    <d v="2025-04-11T00:00:00"/>
    <x v="1"/>
    <x v="3"/>
    <x v="0"/>
    <n v="5"/>
    <n v="3346"/>
    <n v="16730"/>
    <x v="3"/>
    <s v="Apr-25"/>
  </r>
  <r>
    <d v="2025-04-11T00:00:00"/>
    <x v="1"/>
    <x v="0"/>
    <x v="3"/>
    <n v="9"/>
    <n v="11994"/>
    <n v="107946"/>
    <x v="3"/>
    <s v="Apr-25"/>
  </r>
  <r>
    <d v="2025-04-11T00:00:00"/>
    <x v="2"/>
    <x v="0"/>
    <x v="3"/>
    <n v="9"/>
    <n v="11782"/>
    <n v="106038"/>
    <x v="3"/>
    <s v="Apr-25"/>
  </r>
  <r>
    <d v="2025-04-12T00:00:00"/>
    <x v="3"/>
    <x v="1"/>
    <x v="0"/>
    <n v="7"/>
    <n v="21304"/>
    <n v="149128"/>
    <x v="3"/>
    <s v="Apr-25"/>
  </r>
  <r>
    <d v="2025-04-12T00:00:00"/>
    <x v="3"/>
    <x v="1"/>
    <x v="2"/>
    <n v="5"/>
    <n v="22786"/>
    <n v="113930"/>
    <x v="3"/>
    <s v="Apr-25"/>
  </r>
  <r>
    <d v="2025-04-12T00:00:00"/>
    <x v="1"/>
    <x v="3"/>
    <x v="7"/>
    <n v="9"/>
    <n v="3469"/>
    <n v="31221"/>
    <x v="3"/>
    <s v="Apr-25"/>
  </r>
  <r>
    <d v="2025-04-12T00:00:00"/>
    <x v="3"/>
    <x v="4"/>
    <x v="6"/>
    <n v="7"/>
    <n v="7794"/>
    <n v="54558"/>
    <x v="3"/>
    <s v="Apr-25"/>
  </r>
  <r>
    <d v="2025-04-12T00:00:00"/>
    <x v="1"/>
    <x v="2"/>
    <x v="1"/>
    <n v="8"/>
    <n v="18624"/>
    <n v="148992"/>
    <x v="3"/>
    <s v="Apr-25"/>
  </r>
  <r>
    <d v="2025-04-13T00:00:00"/>
    <x v="1"/>
    <x v="5"/>
    <x v="0"/>
    <n v="7"/>
    <n v="55955"/>
    <n v="391685"/>
    <x v="3"/>
    <s v="Apr-25"/>
  </r>
  <r>
    <d v="2025-04-13T00:00:00"/>
    <x v="0"/>
    <x v="5"/>
    <x v="2"/>
    <n v="10"/>
    <n v="56233"/>
    <n v="562330"/>
    <x v="3"/>
    <s v="Apr-25"/>
  </r>
  <r>
    <d v="2025-04-14T00:00:00"/>
    <x v="1"/>
    <x v="3"/>
    <x v="2"/>
    <n v="6"/>
    <n v="3431"/>
    <n v="20586"/>
    <x v="3"/>
    <s v="Apr-25"/>
  </r>
  <r>
    <d v="2025-04-14T00:00:00"/>
    <x v="0"/>
    <x v="1"/>
    <x v="2"/>
    <n v="2"/>
    <n v="22543"/>
    <n v="45086"/>
    <x v="3"/>
    <s v="Apr-25"/>
  </r>
  <r>
    <d v="2025-04-14T00:00:00"/>
    <x v="3"/>
    <x v="1"/>
    <x v="2"/>
    <n v="7"/>
    <n v="22913"/>
    <n v="160391"/>
    <x v="3"/>
    <s v="Apr-25"/>
  </r>
  <r>
    <d v="2025-04-14T00:00:00"/>
    <x v="2"/>
    <x v="2"/>
    <x v="3"/>
    <n v="8"/>
    <n v="18060"/>
    <n v="144480"/>
    <x v="3"/>
    <s v="Apr-25"/>
  </r>
  <r>
    <d v="2025-04-14T00:00:00"/>
    <x v="2"/>
    <x v="2"/>
    <x v="0"/>
    <n v="6"/>
    <n v="18023"/>
    <n v="108138"/>
    <x v="3"/>
    <s v="Apr-25"/>
  </r>
  <r>
    <d v="2025-04-14T00:00:00"/>
    <x v="3"/>
    <x v="3"/>
    <x v="1"/>
    <n v="8"/>
    <n v="3591"/>
    <n v="28728"/>
    <x v="3"/>
    <s v="Apr-25"/>
  </r>
  <r>
    <d v="2025-04-15T00:00:00"/>
    <x v="1"/>
    <x v="2"/>
    <x v="5"/>
    <n v="7"/>
    <n v="17182"/>
    <n v="120274"/>
    <x v="3"/>
    <s v="Apr-25"/>
  </r>
  <r>
    <d v="2025-04-15T00:00:00"/>
    <x v="1"/>
    <x v="0"/>
    <x v="6"/>
    <n v="1"/>
    <n v="11712"/>
    <n v="11712"/>
    <x v="3"/>
    <s v="Apr-25"/>
  </r>
  <r>
    <d v="2025-04-15T00:00:00"/>
    <x v="3"/>
    <x v="2"/>
    <x v="6"/>
    <n v="4"/>
    <n v="17693"/>
    <n v="70772"/>
    <x v="3"/>
    <s v="Apr-25"/>
  </r>
  <r>
    <d v="2025-04-15T00:00:00"/>
    <x v="3"/>
    <x v="4"/>
    <x v="2"/>
    <n v="8"/>
    <n v="8040"/>
    <n v="64320"/>
    <x v="3"/>
    <s v="Apr-25"/>
  </r>
  <r>
    <d v="2025-04-16T00:00:00"/>
    <x v="2"/>
    <x v="3"/>
    <x v="4"/>
    <n v="8"/>
    <n v="3383"/>
    <n v="27064"/>
    <x v="3"/>
    <s v="Apr-25"/>
  </r>
  <r>
    <d v="2025-04-16T00:00:00"/>
    <x v="2"/>
    <x v="1"/>
    <x v="6"/>
    <n v="9"/>
    <n v="21974"/>
    <n v="197766"/>
    <x v="3"/>
    <s v="Apr-25"/>
  </r>
  <r>
    <d v="2025-04-16T00:00:00"/>
    <x v="0"/>
    <x v="4"/>
    <x v="7"/>
    <n v="2"/>
    <n v="8356"/>
    <n v="16712"/>
    <x v="3"/>
    <s v="Apr-25"/>
  </r>
  <r>
    <d v="2025-04-16T00:00:00"/>
    <x v="0"/>
    <x v="5"/>
    <x v="3"/>
    <n v="3"/>
    <n v="56883"/>
    <n v="170649"/>
    <x v="3"/>
    <s v="Apr-25"/>
  </r>
  <r>
    <d v="2025-04-17T00:00:00"/>
    <x v="0"/>
    <x v="0"/>
    <x v="6"/>
    <n v="1"/>
    <n v="11662"/>
    <n v="11662"/>
    <x v="3"/>
    <s v="Apr-25"/>
  </r>
  <r>
    <d v="2025-04-17T00:00:00"/>
    <x v="3"/>
    <x v="2"/>
    <x v="7"/>
    <n v="10"/>
    <n v="18247"/>
    <n v="182470"/>
    <x v="3"/>
    <s v="Apr-25"/>
  </r>
  <r>
    <d v="2025-04-17T00:00:00"/>
    <x v="3"/>
    <x v="0"/>
    <x v="4"/>
    <n v="1"/>
    <n v="11407"/>
    <n v="11407"/>
    <x v="3"/>
    <s v="Apr-25"/>
  </r>
  <r>
    <d v="2025-04-18T00:00:00"/>
    <x v="3"/>
    <x v="5"/>
    <x v="7"/>
    <n v="9"/>
    <n v="56222"/>
    <n v="505998"/>
    <x v="3"/>
    <s v="Apr-25"/>
  </r>
  <r>
    <d v="2025-04-18T00:00:00"/>
    <x v="2"/>
    <x v="5"/>
    <x v="3"/>
    <n v="3"/>
    <n v="52838"/>
    <n v="158514"/>
    <x v="3"/>
    <s v="Apr-25"/>
  </r>
  <r>
    <d v="2025-04-18T00:00:00"/>
    <x v="0"/>
    <x v="4"/>
    <x v="6"/>
    <n v="4"/>
    <n v="7753"/>
    <n v="31012"/>
    <x v="3"/>
    <s v="Apr-25"/>
  </r>
  <r>
    <d v="2025-04-18T00:00:00"/>
    <x v="2"/>
    <x v="2"/>
    <x v="0"/>
    <n v="7"/>
    <n v="17242"/>
    <n v="120694"/>
    <x v="3"/>
    <s v="Apr-25"/>
  </r>
  <r>
    <d v="2025-04-18T00:00:00"/>
    <x v="3"/>
    <x v="3"/>
    <x v="2"/>
    <n v="4"/>
    <n v="3429"/>
    <n v="13716"/>
    <x v="3"/>
    <s v="Apr-25"/>
  </r>
  <r>
    <d v="2025-04-18T00:00:00"/>
    <x v="0"/>
    <x v="0"/>
    <x v="7"/>
    <n v="2"/>
    <n v="11886"/>
    <n v="23772"/>
    <x v="3"/>
    <s v="Apr-25"/>
  </r>
  <r>
    <d v="2025-04-19T00:00:00"/>
    <x v="3"/>
    <x v="5"/>
    <x v="7"/>
    <n v="3"/>
    <n v="52704"/>
    <n v="158112"/>
    <x v="3"/>
    <s v="Apr-25"/>
  </r>
  <r>
    <d v="2025-04-19T00:00:00"/>
    <x v="3"/>
    <x v="0"/>
    <x v="5"/>
    <n v="10"/>
    <n v="12572"/>
    <n v="125720"/>
    <x v="3"/>
    <s v="Apr-25"/>
  </r>
  <r>
    <d v="2025-04-19T00:00:00"/>
    <x v="0"/>
    <x v="4"/>
    <x v="7"/>
    <n v="4"/>
    <n v="7769"/>
    <n v="31076"/>
    <x v="3"/>
    <s v="Apr-25"/>
  </r>
  <r>
    <d v="2025-04-19T00:00:00"/>
    <x v="3"/>
    <x v="2"/>
    <x v="7"/>
    <n v="2"/>
    <n v="18331"/>
    <n v="36662"/>
    <x v="3"/>
    <s v="Apr-25"/>
  </r>
  <r>
    <d v="2025-04-19T00:00:00"/>
    <x v="2"/>
    <x v="4"/>
    <x v="7"/>
    <n v="3"/>
    <n v="8343"/>
    <n v="25029"/>
    <x v="3"/>
    <s v="Apr-25"/>
  </r>
  <r>
    <d v="2025-04-20T00:00:00"/>
    <x v="0"/>
    <x v="1"/>
    <x v="6"/>
    <n v="7"/>
    <n v="22943"/>
    <n v="160601"/>
    <x v="3"/>
    <s v="Apr-25"/>
  </r>
  <r>
    <d v="2025-04-20T00:00:00"/>
    <x v="2"/>
    <x v="1"/>
    <x v="2"/>
    <n v="10"/>
    <n v="22736"/>
    <n v="227360"/>
    <x v="3"/>
    <s v="Apr-25"/>
  </r>
  <r>
    <d v="2025-04-20T00:00:00"/>
    <x v="3"/>
    <x v="0"/>
    <x v="5"/>
    <n v="7"/>
    <n v="12306"/>
    <n v="86142"/>
    <x v="3"/>
    <s v="Apr-25"/>
  </r>
  <r>
    <d v="2025-04-20T00:00:00"/>
    <x v="1"/>
    <x v="0"/>
    <x v="1"/>
    <n v="9"/>
    <n v="12294"/>
    <n v="110646"/>
    <x v="3"/>
    <s v="Apr-25"/>
  </r>
  <r>
    <d v="2025-04-21T00:00:00"/>
    <x v="0"/>
    <x v="5"/>
    <x v="3"/>
    <n v="4"/>
    <n v="56862"/>
    <n v="227448"/>
    <x v="3"/>
    <s v="Apr-25"/>
  </r>
  <r>
    <d v="2025-04-21T00:00:00"/>
    <x v="2"/>
    <x v="4"/>
    <x v="3"/>
    <n v="6"/>
    <n v="7623"/>
    <n v="45738"/>
    <x v="3"/>
    <s v="Apr-25"/>
  </r>
  <r>
    <d v="2025-04-21T00:00:00"/>
    <x v="2"/>
    <x v="3"/>
    <x v="4"/>
    <n v="4"/>
    <n v="3449"/>
    <n v="13796"/>
    <x v="3"/>
    <s v="Apr-25"/>
  </r>
  <r>
    <d v="2025-04-21T00:00:00"/>
    <x v="3"/>
    <x v="3"/>
    <x v="6"/>
    <n v="10"/>
    <n v="3556"/>
    <n v="35560"/>
    <x v="3"/>
    <s v="Apr-25"/>
  </r>
  <r>
    <d v="2025-04-22T00:00:00"/>
    <x v="2"/>
    <x v="1"/>
    <x v="1"/>
    <n v="2"/>
    <n v="21489"/>
    <n v="42978"/>
    <x v="3"/>
    <s v="Apr-25"/>
  </r>
  <r>
    <d v="2025-04-22T00:00:00"/>
    <x v="3"/>
    <x v="0"/>
    <x v="6"/>
    <n v="7"/>
    <n v="11780"/>
    <n v="82460"/>
    <x v="3"/>
    <s v="Apr-25"/>
  </r>
  <r>
    <d v="2025-04-23T00:00:00"/>
    <x v="0"/>
    <x v="5"/>
    <x v="0"/>
    <n v="8"/>
    <n v="54229"/>
    <n v="433832"/>
    <x v="3"/>
    <s v="Apr-25"/>
  </r>
  <r>
    <d v="2025-04-23T00:00:00"/>
    <x v="2"/>
    <x v="5"/>
    <x v="6"/>
    <n v="2"/>
    <n v="53280"/>
    <n v="106560"/>
    <x v="3"/>
    <s v="Apr-25"/>
  </r>
  <r>
    <d v="2025-04-24T00:00:00"/>
    <x v="3"/>
    <x v="5"/>
    <x v="7"/>
    <n v="2"/>
    <n v="54196"/>
    <n v="108392"/>
    <x v="3"/>
    <s v="Apr-25"/>
  </r>
  <r>
    <d v="2025-04-24T00:00:00"/>
    <x v="0"/>
    <x v="4"/>
    <x v="5"/>
    <n v="7"/>
    <n v="7609"/>
    <n v="53263"/>
    <x v="3"/>
    <s v="Apr-25"/>
  </r>
  <r>
    <d v="2025-04-24T00:00:00"/>
    <x v="3"/>
    <x v="3"/>
    <x v="1"/>
    <n v="9"/>
    <n v="3641"/>
    <n v="32769"/>
    <x v="3"/>
    <s v="Apr-25"/>
  </r>
  <r>
    <d v="2025-04-24T00:00:00"/>
    <x v="1"/>
    <x v="4"/>
    <x v="6"/>
    <n v="7"/>
    <n v="7735"/>
    <n v="54145"/>
    <x v="3"/>
    <s v="Apr-25"/>
  </r>
  <r>
    <d v="2025-04-24T00:00:00"/>
    <x v="2"/>
    <x v="2"/>
    <x v="0"/>
    <n v="8"/>
    <n v="17362"/>
    <n v="138896"/>
    <x v="3"/>
    <s v="Apr-25"/>
  </r>
  <r>
    <d v="2025-04-25T00:00:00"/>
    <x v="3"/>
    <x v="2"/>
    <x v="3"/>
    <n v="5"/>
    <n v="17971"/>
    <n v="89855"/>
    <x v="3"/>
    <s v="Apr-25"/>
  </r>
  <r>
    <d v="2025-04-25T00:00:00"/>
    <x v="0"/>
    <x v="2"/>
    <x v="0"/>
    <n v="4"/>
    <n v="18397"/>
    <n v="73588"/>
    <x v="3"/>
    <s v="Apr-25"/>
  </r>
  <r>
    <d v="2025-04-25T00:00:00"/>
    <x v="3"/>
    <x v="4"/>
    <x v="2"/>
    <n v="8"/>
    <n v="7685"/>
    <n v="61480"/>
    <x v="3"/>
    <s v="Apr-25"/>
  </r>
  <r>
    <d v="2025-04-26T00:00:00"/>
    <x v="0"/>
    <x v="3"/>
    <x v="5"/>
    <n v="10"/>
    <n v="3457"/>
    <n v="34570"/>
    <x v="3"/>
    <s v="Apr-25"/>
  </r>
  <r>
    <d v="2025-04-26T00:00:00"/>
    <x v="2"/>
    <x v="3"/>
    <x v="5"/>
    <n v="7"/>
    <n v="3610"/>
    <n v="25270"/>
    <x v="3"/>
    <s v="Apr-25"/>
  </r>
  <r>
    <d v="2025-04-26T00:00:00"/>
    <x v="1"/>
    <x v="2"/>
    <x v="5"/>
    <n v="10"/>
    <n v="18805"/>
    <n v="188050"/>
    <x v="3"/>
    <s v="Apr-25"/>
  </r>
  <r>
    <d v="2025-04-26T00:00:00"/>
    <x v="1"/>
    <x v="3"/>
    <x v="5"/>
    <n v="3"/>
    <n v="3662"/>
    <n v="10986"/>
    <x v="3"/>
    <s v="Apr-25"/>
  </r>
  <r>
    <d v="2025-04-27T00:00:00"/>
    <x v="2"/>
    <x v="0"/>
    <x v="4"/>
    <n v="10"/>
    <n v="12338"/>
    <n v="123380"/>
    <x v="3"/>
    <s v="Apr-25"/>
  </r>
  <r>
    <d v="2025-04-27T00:00:00"/>
    <x v="2"/>
    <x v="3"/>
    <x v="0"/>
    <n v="7"/>
    <n v="3452"/>
    <n v="24164"/>
    <x v="3"/>
    <s v="Apr-25"/>
  </r>
  <r>
    <d v="2025-04-27T00:00:00"/>
    <x v="1"/>
    <x v="4"/>
    <x v="6"/>
    <n v="9"/>
    <n v="7621"/>
    <n v="68589"/>
    <x v="3"/>
    <s v="Apr-25"/>
  </r>
  <r>
    <d v="2025-04-27T00:00:00"/>
    <x v="3"/>
    <x v="0"/>
    <x v="2"/>
    <n v="8"/>
    <n v="12357"/>
    <n v="98856"/>
    <x v="3"/>
    <s v="Apr-25"/>
  </r>
  <r>
    <d v="2025-04-28T00:00:00"/>
    <x v="3"/>
    <x v="0"/>
    <x v="4"/>
    <n v="3"/>
    <n v="12160"/>
    <n v="36480"/>
    <x v="3"/>
    <s v="Apr-25"/>
  </r>
  <r>
    <d v="2025-04-28T00:00:00"/>
    <x v="1"/>
    <x v="2"/>
    <x v="6"/>
    <n v="7"/>
    <n v="18520"/>
    <n v="129640"/>
    <x v="3"/>
    <s v="Apr-25"/>
  </r>
  <r>
    <d v="2025-04-29T00:00:00"/>
    <x v="3"/>
    <x v="4"/>
    <x v="4"/>
    <n v="10"/>
    <n v="7920"/>
    <n v="79200"/>
    <x v="3"/>
    <s v="Apr-25"/>
  </r>
  <r>
    <d v="2025-04-29T00:00:00"/>
    <x v="3"/>
    <x v="4"/>
    <x v="7"/>
    <n v="6"/>
    <n v="8161"/>
    <n v="48966"/>
    <x v="3"/>
    <s v="Apr-25"/>
  </r>
  <r>
    <d v="2025-04-30T00:00:00"/>
    <x v="0"/>
    <x v="5"/>
    <x v="2"/>
    <n v="6"/>
    <n v="53164"/>
    <n v="318984"/>
    <x v="3"/>
    <s v="Apr-25"/>
  </r>
  <r>
    <d v="2025-04-30T00:00:00"/>
    <x v="0"/>
    <x v="4"/>
    <x v="3"/>
    <n v="6"/>
    <n v="8372"/>
    <n v="50232"/>
    <x v="3"/>
    <s v="Apr-25"/>
  </r>
  <r>
    <d v="2025-04-30T00:00:00"/>
    <x v="3"/>
    <x v="5"/>
    <x v="7"/>
    <n v="2"/>
    <n v="53673"/>
    <n v="107346"/>
    <x v="3"/>
    <s v="Apr-25"/>
  </r>
  <r>
    <d v="2025-04-30T00:00:00"/>
    <x v="1"/>
    <x v="3"/>
    <x v="5"/>
    <n v="7"/>
    <n v="3487"/>
    <n v="24409"/>
    <x v="3"/>
    <s v="Apr-25"/>
  </r>
  <r>
    <d v="2025-04-30T00:00:00"/>
    <x v="1"/>
    <x v="2"/>
    <x v="7"/>
    <n v="8"/>
    <n v="17288"/>
    <n v="138304"/>
    <x v="3"/>
    <s v="Apr-25"/>
  </r>
  <r>
    <d v="2025-04-30T00:00:00"/>
    <x v="3"/>
    <x v="5"/>
    <x v="1"/>
    <n v="3"/>
    <n v="54165"/>
    <n v="162495"/>
    <x v="3"/>
    <s v="Apr-25"/>
  </r>
  <r>
    <d v="2025-05-01T00:00:00"/>
    <x v="3"/>
    <x v="1"/>
    <x v="4"/>
    <n v="6"/>
    <n v="21947"/>
    <n v="131682"/>
    <x v="4"/>
    <s v="May-25"/>
  </r>
  <r>
    <d v="2025-05-01T00:00:00"/>
    <x v="3"/>
    <x v="0"/>
    <x v="4"/>
    <n v="6"/>
    <n v="11480"/>
    <n v="68880"/>
    <x v="4"/>
    <s v="May-25"/>
  </r>
  <r>
    <d v="2025-05-01T00:00:00"/>
    <x v="0"/>
    <x v="0"/>
    <x v="1"/>
    <n v="1"/>
    <n v="12419"/>
    <n v="12419"/>
    <x v="4"/>
    <s v="May-25"/>
  </r>
  <r>
    <d v="2025-05-01T00:00:00"/>
    <x v="0"/>
    <x v="0"/>
    <x v="6"/>
    <n v="4"/>
    <n v="12019"/>
    <n v="48076"/>
    <x v="4"/>
    <s v="May-25"/>
  </r>
  <r>
    <d v="2025-05-02T00:00:00"/>
    <x v="1"/>
    <x v="2"/>
    <x v="3"/>
    <n v="8"/>
    <n v="17517"/>
    <n v="140136"/>
    <x v="4"/>
    <s v="May-25"/>
  </r>
  <r>
    <d v="2025-05-02T00:00:00"/>
    <x v="3"/>
    <x v="0"/>
    <x v="6"/>
    <n v="3"/>
    <n v="12168"/>
    <n v="36504"/>
    <x v="4"/>
    <s v="May-25"/>
  </r>
  <r>
    <d v="2025-05-02T00:00:00"/>
    <x v="3"/>
    <x v="3"/>
    <x v="7"/>
    <n v="10"/>
    <n v="3634"/>
    <n v="36340"/>
    <x v="4"/>
    <s v="May-25"/>
  </r>
  <r>
    <d v="2025-05-02T00:00:00"/>
    <x v="3"/>
    <x v="4"/>
    <x v="3"/>
    <n v="7"/>
    <n v="7603"/>
    <n v="53221"/>
    <x v="4"/>
    <s v="May-25"/>
  </r>
  <r>
    <d v="2025-05-02T00:00:00"/>
    <x v="1"/>
    <x v="1"/>
    <x v="0"/>
    <n v="2"/>
    <n v="22170"/>
    <n v="44340"/>
    <x v="4"/>
    <s v="May-25"/>
  </r>
  <r>
    <d v="2025-05-02T00:00:00"/>
    <x v="1"/>
    <x v="2"/>
    <x v="5"/>
    <n v="4"/>
    <n v="17923"/>
    <n v="71692"/>
    <x v="4"/>
    <s v="May-25"/>
  </r>
  <r>
    <d v="2025-05-03T00:00:00"/>
    <x v="3"/>
    <x v="4"/>
    <x v="5"/>
    <n v="10"/>
    <n v="7910"/>
    <n v="79100"/>
    <x v="4"/>
    <s v="May-25"/>
  </r>
  <r>
    <d v="2025-05-03T00:00:00"/>
    <x v="3"/>
    <x v="4"/>
    <x v="1"/>
    <n v="6"/>
    <n v="7881"/>
    <n v="47286"/>
    <x v="4"/>
    <s v="May-25"/>
  </r>
  <r>
    <d v="2025-05-03T00:00:00"/>
    <x v="3"/>
    <x v="4"/>
    <x v="6"/>
    <n v="5"/>
    <n v="8334"/>
    <n v="41670"/>
    <x v="4"/>
    <s v="May-25"/>
  </r>
  <r>
    <d v="2025-05-03T00:00:00"/>
    <x v="0"/>
    <x v="0"/>
    <x v="6"/>
    <n v="6"/>
    <n v="11541"/>
    <n v="69246"/>
    <x v="4"/>
    <s v="May-25"/>
  </r>
  <r>
    <d v="2025-05-04T00:00:00"/>
    <x v="0"/>
    <x v="1"/>
    <x v="5"/>
    <n v="3"/>
    <n v="22023"/>
    <n v="66069"/>
    <x v="4"/>
    <s v="May-25"/>
  </r>
  <r>
    <d v="2025-05-04T00:00:00"/>
    <x v="3"/>
    <x v="4"/>
    <x v="6"/>
    <n v="10"/>
    <n v="7906"/>
    <n v="79060"/>
    <x v="4"/>
    <s v="May-25"/>
  </r>
  <r>
    <d v="2025-05-04T00:00:00"/>
    <x v="1"/>
    <x v="3"/>
    <x v="6"/>
    <n v="9"/>
    <n v="3383"/>
    <n v="30447"/>
    <x v="4"/>
    <s v="May-25"/>
  </r>
  <r>
    <d v="2025-05-04T00:00:00"/>
    <x v="2"/>
    <x v="1"/>
    <x v="6"/>
    <n v="6"/>
    <n v="22752"/>
    <n v="136512"/>
    <x v="4"/>
    <s v="May-25"/>
  </r>
  <r>
    <d v="2025-05-05T00:00:00"/>
    <x v="0"/>
    <x v="2"/>
    <x v="7"/>
    <n v="8"/>
    <n v="17345"/>
    <n v="138760"/>
    <x v="4"/>
    <s v="May-25"/>
  </r>
  <r>
    <d v="2025-05-05T00:00:00"/>
    <x v="3"/>
    <x v="4"/>
    <x v="4"/>
    <n v="7"/>
    <n v="8147"/>
    <n v="57029"/>
    <x v="4"/>
    <s v="May-25"/>
  </r>
  <r>
    <d v="2025-05-05T00:00:00"/>
    <x v="3"/>
    <x v="0"/>
    <x v="4"/>
    <n v="8"/>
    <n v="11600"/>
    <n v="92800"/>
    <x v="4"/>
    <s v="May-25"/>
  </r>
  <r>
    <d v="2025-05-05T00:00:00"/>
    <x v="0"/>
    <x v="1"/>
    <x v="0"/>
    <n v="1"/>
    <n v="21504"/>
    <n v="21504"/>
    <x v="4"/>
    <s v="May-25"/>
  </r>
  <r>
    <d v="2025-05-05T00:00:00"/>
    <x v="2"/>
    <x v="1"/>
    <x v="4"/>
    <n v="10"/>
    <n v="22533"/>
    <n v="225330"/>
    <x v="4"/>
    <s v="May-25"/>
  </r>
  <r>
    <d v="2025-05-05T00:00:00"/>
    <x v="3"/>
    <x v="4"/>
    <x v="1"/>
    <n v="10"/>
    <n v="7691"/>
    <n v="76910"/>
    <x v="4"/>
    <s v="May-25"/>
  </r>
  <r>
    <d v="2025-05-06T00:00:00"/>
    <x v="2"/>
    <x v="4"/>
    <x v="7"/>
    <n v="8"/>
    <n v="8037"/>
    <n v="64296"/>
    <x v="4"/>
    <s v="May-25"/>
  </r>
  <r>
    <d v="2025-05-06T00:00:00"/>
    <x v="3"/>
    <x v="5"/>
    <x v="2"/>
    <n v="5"/>
    <n v="57061"/>
    <n v="285305"/>
    <x v="4"/>
    <s v="May-25"/>
  </r>
  <r>
    <d v="2025-05-06T00:00:00"/>
    <x v="0"/>
    <x v="3"/>
    <x v="0"/>
    <n v="6"/>
    <n v="3626"/>
    <n v="21756"/>
    <x v="4"/>
    <s v="May-25"/>
  </r>
  <r>
    <d v="2025-05-06T00:00:00"/>
    <x v="0"/>
    <x v="3"/>
    <x v="1"/>
    <n v="4"/>
    <n v="3398"/>
    <n v="13592"/>
    <x v="4"/>
    <s v="May-25"/>
  </r>
  <r>
    <d v="2025-05-06T00:00:00"/>
    <x v="2"/>
    <x v="0"/>
    <x v="3"/>
    <n v="3"/>
    <n v="12139"/>
    <n v="36417"/>
    <x v="4"/>
    <s v="May-25"/>
  </r>
  <r>
    <d v="2025-05-06T00:00:00"/>
    <x v="1"/>
    <x v="1"/>
    <x v="7"/>
    <n v="10"/>
    <n v="21671"/>
    <n v="216710"/>
    <x v="4"/>
    <s v="May-25"/>
  </r>
  <r>
    <d v="2025-05-07T00:00:00"/>
    <x v="1"/>
    <x v="2"/>
    <x v="0"/>
    <n v="5"/>
    <n v="18130"/>
    <n v="90650"/>
    <x v="4"/>
    <s v="May-25"/>
  </r>
  <r>
    <d v="2025-05-07T00:00:00"/>
    <x v="0"/>
    <x v="1"/>
    <x v="3"/>
    <n v="1"/>
    <n v="23083"/>
    <n v="23083"/>
    <x v="4"/>
    <s v="May-25"/>
  </r>
  <r>
    <d v="2025-05-07T00:00:00"/>
    <x v="1"/>
    <x v="0"/>
    <x v="6"/>
    <n v="4"/>
    <n v="11575"/>
    <n v="46300"/>
    <x v="4"/>
    <s v="May-25"/>
  </r>
  <r>
    <d v="2025-05-07T00:00:00"/>
    <x v="2"/>
    <x v="1"/>
    <x v="3"/>
    <n v="8"/>
    <n v="21212"/>
    <n v="169696"/>
    <x v="4"/>
    <s v="May-25"/>
  </r>
  <r>
    <d v="2025-05-08T00:00:00"/>
    <x v="3"/>
    <x v="3"/>
    <x v="4"/>
    <n v="2"/>
    <n v="3546"/>
    <n v="7092"/>
    <x v="4"/>
    <s v="May-25"/>
  </r>
  <r>
    <d v="2025-05-08T00:00:00"/>
    <x v="0"/>
    <x v="3"/>
    <x v="0"/>
    <n v="6"/>
    <n v="3484"/>
    <n v="20904"/>
    <x v="4"/>
    <s v="May-25"/>
  </r>
  <r>
    <d v="2025-05-08T00:00:00"/>
    <x v="3"/>
    <x v="2"/>
    <x v="7"/>
    <n v="2"/>
    <n v="18415"/>
    <n v="36830"/>
    <x v="4"/>
    <s v="May-25"/>
  </r>
  <r>
    <d v="2025-05-08T00:00:00"/>
    <x v="3"/>
    <x v="0"/>
    <x v="5"/>
    <n v="2"/>
    <n v="12354"/>
    <n v="24708"/>
    <x v="4"/>
    <s v="May-25"/>
  </r>
  <r>
    <d v="2025-05-09T00:00:00"/>
    <x v="1"/>
    <x v="3"/>
    <x v="2"/>
    <n v="8"/>
    <n v="3418"/>
    <n v="27344"/>
    <x v="4"/>
    <s v="May-25"/>
  </r>
  <r>
    <d v="2025-05-09T00:00:00"/>
    <x v="2"/>
    <x v="2"/>
    <x v="6"/>
    <n v="10"/>
    <n v="18634"/>
    <n v="186340"/>
    <x v="4"/>
    <s v="May-25"/>
  </r>
  <r>
    <d v="2025-05-09T00:00:00"/>
    <x v="2"/>
    <x v="0"/>
    <x v="7"/>
    <n v="1"/>
    <n v="11519"/>
    <n v="11519"/>
    <x v="4"/>
    <s v="May-25"/>
  </r>
  <r>
    <d v="2025-05-09T00:00:00"/>
    <x v="3"/>
    <x v="5"/>
    <x v="1"/>
    <n v="3"/>
    <n v="54677"/>
    <n v="164031"/>
    <x v="4"/>
    <s v="May-25"/>
  </r>
  <r>
    <d v="2025-05-09T00:00:00"/>
    <x v="0"/>
    <x v="3"/>
    <x v="2"/>
    <n v="3"/>
    <n v="3633"/>
    <n v="10899"/>
    <x v="4"/>
    <s v="May-25"/>
  </r>
  <r>
    <d v="2025-05-10T00:00:00"/>
    <x v="1"/>
    <x v="2"/>
    <x v="1"/>
    <n v="6"/>
    <n v="17550"/>
    <n v="105300"/>
    <x v="4"/>
    <s v="May-25"/>
  </r>
  <r>
    <d v="2025-05-10T00:00:00"/>
    <x v="2"/>
    <x v="0"/>
    <x v="6"/>
    <n v="1"/>
    <n v="11875"/>
    <n v="11875"/>
    <x v="4"/>
    <s v="May-25"/>
  </r>
  <r>
    <d v="2025-05-10T00:00:00"/>
    <x v="2"/>
    <x v="0"/>
    <x v="2"/>
    <n v="7"/>
    <n v="12186"/>
    <n v="85302"/>
    <x v="4"/>
    <s v="May-25"/>
  </r>
  <r>
    <d v="2025-05-10T00:00:00"/>
    <x v="0"/>
    <x v="5"/>
    <x v="2"/>
    <n v="8"/>
    <n v="52678"/>
    <n v="421424"/>
    <x v="4"/>
    <s v="May-25"/>
  </r>
  <r>
    <d v="2025-05-11T00:00:00"/>
    <x v="1"/>
    <x v="4"/>
    <x v="4"/>
    <n v="1"/>
    <n v="7606"/>
    <n v="7606"/>
    <x v="4"/>
    <s v="May-25"/>
  </r>
  <r>
    <d v="2025-05-11T00:00:00"/>
    <x v="2"/>
    <x v="5"/>
    <x v="3"/>
    <n v="3"/>
    <n v="54877"/>
    <n v="164631"/>
    <x v="4"/>
    <s v="May-25"/>
  </r>
  <r>
    <d v="2025-05-11T00:00:00"/>
    <x v="1"/>
    <x v="3"/>
    <x v="1"/>
    <n v="2"/>
    <n v="3361"/>
    <n v="6722"/>
    <x v="4"/>
    <s v="May-25"/>
  </r>
  <r>
    <d v="2025-05-11T00:00:00"/>
    <x v="2"/>
    <x v="2"/>
    <x v="6"/>
    <n v="7"/>
    <n v="18492"/>
    <n v="129444"/>
    <x v="4"/>
    <s v="May-25"/>
  </r>
  <r>
    <d v="2025-05-11T00:00:00"/>
    <x v="1"/>
    <x v="0"/>
    <x v="6"/>
    <n v="2"/>
    <n v="12036"/>
    <n v="24072"/>
    <x v="4"/>
    <s v="May-25"/>
  </r>
  <r>
    <d v="2025-05-11T00:00:00"/>
    <x v="0"/>
    <x v="4"/>
    <x v="6"/>
    <n v="8"/>
    <n v="7880"/>
    <n v="63040"/>
    <x v="4"/>
    <s v="May-25"/>
  </r>
  <r>
    <d v="2025-05-12T00:00:00"/>
    <x v="1"/>
    <x v="3"/>
    <x v="4"/>
    <n v="4"/>
    <n v="3355"/>
    <n v="13420"/>
    <x v="4"/>
    <s v="May-25"/>
  </r>
  <r>
    <d v="2025-05-12T00:00:00"/>
    <x v="0"/>
    <x v="1"/>
    <x v="1"/>
    <n v="10"/>
    <n v="22506"/>
    <n v="225060"/>
    <x v="4"/>
    <s v="May-25"/>
  </r>
  <r>
    <d v="2025-05-12T00:00:00"/>
    <x v="2"/>
    <x v="3"/>
    <x v="5"/>
    <n v="3"/>
    <n v="3411"/>
    <n v="10233"/>
    <x v="4"/>
    <s v="May-25"/>
  </r>
  <r>
    <d v="2025-05-13T00:00:00"/>
    <x v="1"/>
    <x v="4"/>
    <x v="0"/>
    <n v="1"/>
    <n v="8278"/>
    <n v="8278"/>
    <x v="4"/>
    <s v="May-25"/>
  </r>
  <r>
    <d v="2025-05-13T00:00:00"/>
    <x v="2"/>
    <x v="1"/>
    <x v="2"/>
    <n v="7"/>
    <n v="21550"/>
    <n v="150850"/>
    <x v="4"/>
    <s v="May-25"/>
  </r>
  <r>
    <d v="2025-05-14T00:00:00"/>
    <x v="1"/>
    <x v="3"/>
    <x v="3"/>
    <n v="2"/>
    <n v="3409"/>
    <n v="6818"/>
    <x v="4"/>
    <s v="May-25"/>
  </r>
  <r>
    <d v="2025-05-14T00:00:00"/>
    <x v="0"/>
    <x v="4"/>
    <x v="7"/>
    <n v="6"/>
    <n v="8347"/>
    <n v="50082"/>
    <x v="4"/>
    <s v="May-25"/>
  </r>
  <r>
    <d v="2025-05-15T00:00:00"/>
    <x v="3"/>
    <x v="4"/>
    <x v="3"/>
    <n v="6"/>
    <n v="8037"/>
    <n v="48222"/>
    <x v="4"/>
    <s v="May-25"/>
  </r>
  <r>
    <d v="2025-05-15T00:00:00"/>
    <x v="1"/>
    <x v="3"/>
    <x v="1"/>
    <n v="1"/>
    <n v="3530"/>
    <n v="3530"/>
    <x v="4"/>
    <s v="May-25"/>
  </r>
  <r>
    <d v="2025-05-15T00:00:00"/>
    <x v="0"/>
    <x v="2"/>
    <x v="2"/>
    <n v="1"/>
    <n v="18760"/>
    <n v="18760"/>
    <x v="4"/>
    <s v="May-25"/>
  </r>
  <r>
    <d v="2025-05-16T00:00:00"/>
    <x v="2"/>
    <x v="0"/>
    <x v="3"/>
    <n v="7"/>
    <n v="12242"/>
    <n v="85694"/>
    <x v="4"/>
    <s v="May-25"/>
  </r>
  <r>
    <d v="2025-05-16T00:00:00"/>
    <x v="0"/>
    <x v="0"/>
    <x v="6"/>
    <n v="5"/>
    <n v="11500"/>
    <n v="57500"/>
    <x v="4"/>
    <s v="May-25"/>
  </r>
  <r>
    <d v="2025-05-16T00:00:00"/>
    <x v="0"/>
    <x v="4"/>
    <x v="2"/>
    <n v="3"/>
    <n v="8029"/>
    <n v="24087"/>
    <x v="4"/>
    <s v="May-25"/>
  </r>
  <r>
    <d v="2025-05-16T00:00:00"/>
    <x v="3"/>
    <x v="4"/>
    <x v="1"/>
    <n v="5"/>
    <n v="8158"/>
    <n v="40790"/>
    <x v="4"/>
    <s v="May-25"/>
  </r>
  <r>
    <d v="2025-05-16T00:00:00"/>
    <x v="1"/>
    <x v="5"/>
    <x v="2"/>
    <n v="2"/>
    <n v="57335"/>
    <n v="114670"/>
    <x v="4"/>
    <s v="May-25"/>
  </r>
  <r>
    <d v="2025-05-17T00:00:00"/>
    <x v="3"/>
    <x v="4"/>
    <x v="7"/>
    <n v="5"/>
    <n v="8132"/>
    <n v="40660"/>
    <x v="4"/>
    <s v="May-25"/>
  </r>
  <r>
    <d v="2025-05-17T00:00:00"/>
    <x v="1"/>
    <x v="5"/>
    <x v="7"/>
    <n v="3"/>
    <n v="56108"/>
    <n v="168324"/>
    <x v="4"/>
    <s v="May-25"/>
  </r>
  <r>
    <d v="2025-05-18T00:00:00"/>
    <x v="3"/>
    <x v="2"/>
    <x v="0"/>
    <n v="3"/>
    <n v="17769"/>
    <n v="53307"/>
    <x v="4"/>
    <s v="May-25"/>
  </r>
  <r>
    <d v="2025-05-18T00:00:00"/>
    <x v="2"/>
    <x v="0"/>
    <x v="1"/>
    <n v="1"/>
    <n v="11802"/>
    <n v="11802"/>
    <x v="4"/>
    <s v="May-25"/>
  </r>
  <r>
    <d v="2025-05-18T00:00:00"/>
    <x v="3"/>
    <x v="2"/>
    <x v="1"/>
    <n v="5"/>
    <n v="18382"/>
    <n v="91910"/>
    <x v="4"/>
    <s v="May-25"/>
  </r>
  <r>
    <d v="2025-05-19T00:00:00"/>
    <x v="0"/>
    <x v="3"/>
    <x v="4"/>
    <n v="9"/>
    <n v="3451"/>
    <n v="31059"/>
    <x v="4"/>
    <s v="May-25"/>
  </r>
  <r>
    <d v="2025-05-19T00:00:00"/>
    <x v="3"/>
    <x v="4"/>
    <x v="6"/>
    <n v="6"/>
    <n v="7725"/>
    <n v="46350"/>
    <x v="4"/>
    <s v="May-25"/>
  </r>
  <r>
    <d v="2025-05-19T00:00:00"/>
    <x v="0"/>
    <x v="4"/>
    <x v="1"/>
    <n v="4"/>
    <n v="8192"/>
    <n v="32768"/>
    <x v="4"/>
    <s v="May-25"/>
  </r>
  <r>
    <d v="2025-05-19T00:00:00"/>
    <x v="0"/>
    <x v="5"/>
    <x v="7"/>
    <n v="4"/>
    <n v="52502"/>
    <n v="210008"/>
    <x v="4"/>
    <s v="May-25"/>
  </r>
  <r>
    <d v="2025-05-19T00:00:00"/>
    <x v="2"/>
    <x v="3"/>
    <x v="6"/>
    <n v="3"/>
    <n v="3650"/>
    <n v="10950"/>
    <x v="4"/>
    <s v="May-25"/>
  </r>
  <r>
    <d v="2025-05-19T00:00:00"/>
    <x v="0"/>
    <x v="4"/>
    <x v="3"/>
    <n v="4"/>
    <n v="7857"/>
    <n v="31428"/>
    <x v="4"/>
    <s v="May-25"/>
  </r>
  <r>
    <d v="2025-05-20T00:00:00"/>
    <x v="2"/>
    <x v="2"/>
    <x v="1"/>
    <n v="10"/>
    <n v="17771"/>
    <n v="177710"/>
    <x v="4"/>
    <s v="May-25"/>
  </r>
  <r>
    <d v="2025-05-20T00:00:00"/>
    <x v="0"/>
    <x v="1"/>
    <x v="2"/>
    <n v="9"/>
    <n v="23059"/>
    <n v="207531"/>
    <x v="4"/>
    <s v="May-25"/>
  </r>
  <r>
    <d v="2025-05-20T00:00:00"/>
    <x v="3"/>
    <x v="5"/>
    <x v="4"/>
    <n v="5"/>
    <n v="56504"/>
    <n v="282520"/>
    <x v="4"/>
    <s v="May-25"/>
  </r>
  <r>
    <d v="2025-05-20T00:00:00"/>
    <x v="2"/>
    <x v="2"/>
    <x v="1"/>
    <n v="9"/>
    <n v="17922"/>
    <n v="161298"/>
    <x v="4"/>
    <s v="May-25"/>
  </r>
  <r>
    <d v="2025-05-20T00:00:00"/>
    <x v="2"/>
    <x v="1"/>
    <x v="0"/>
    <n v="10"/>
    <n v="22625"/>
    <n v="226250"/>
    <x v="4"/>
    <s v="May-25"/>
  </r>
  <r>
    <d v="2025-05-21T00:00:00"/>
    <x v="1"/>
    <x v="3"/>
    <x v="5"/>
    <n v="10"/>
    <n v="3665"/>
    <n v="36650"/>
    <x v="4"/>
    <s v="May-25"/>
  </r>
  <r>
    <d v="2025-05-21T00:00:00"/>
    <x v="1"/>
    <x v="0"/>
    <x v="2"/>
    <n v="3"/>
    <n v="11407"/>
    <n v="34221"/>
    <x v="4"/>
    <s v="May-25"/>
  </r>
  <r>
    <d v="2025-05-21T00:00:00"/>
    <x v="3"/>
    <x v="5"/>
    <x v="2"/>
    <n v="9"/>
    <n v="54155"/>
    <n v="487395"/>
    <x v="4"/>
    <s v="May-25"/>
  </r>
  <r>
    <d v="2025-05-21T00:00:00"/>
    <x v="0"/>
    <x v="2"/>
    <x v="7"/>
    <n v="7"/>
    <n v="18628"/>
    <n v="130396"/>
    <x v="4"/>
    <s v="May-25"/>
  </r>
  <r>
    <d v="2025-05-21T00:00:00"/>
    <x v="2"/>
    <x v="5"/>
    <x v="2"/>
    <n v="9"/>
    <n v="57657"/>
    <n v="518913"/>
    <x v="4"/>
    <s v="May-25"/>
  </r>
  <r>
    <d v="2025-05-21T00:00:00"/>
    <x v="3"/>
    <x v="3"/>
    <x v="7"/>
    <n v="3"/>
    <n v="3574"/>
    <n v="10722"/>
    <x v="4"/>
    <s v="May-25"/>
  </r>
  <r>
    <d v="2025-05-22T00:00:00"/>
    <x v="0"/>
    <x v="1"/>
    <x v="3"/>
    <n v="6"/>
    <n v="21908"/>
    <n v="131448"/>
    <x v="4"/>
    <s v="May-25"/>
  </r>
  <r>
    <d v="2025-05-22T00:00:00"/>
    <x v="0"/>
    <x v="4"/>
    <x v="1"/>
    <n v="9"/>
    <n v="7706"/>
    <n v="69354"/>
    <x v="4"/>
    <s v="May-25"/>
  </r>
  <r>
    <d v="2025-05-23T00:00:00"/>
    <x v="0"/>
    <x v="4"/>
    <x v="7"/>
    <n v="7"/>
    <n v="8129"/>
    <n v="56903"/>
    <x v="4"/>
    <s v="May-25"/>
  </r>
  <r>
    <d v="2025-05-23T00:00:00"/>
    <x v="1"/>
    <x v="1"/>
    <x v="0"/>
    <n v="5"/>
    <n v="22772"/>
    <n v="113860"/>
    <x v="4"/>
    <s v="May-25"/>
  </r>
  <r>
    <d v="2025-05-23T00:00:00"/>
    <x v="3"/>
    <x v="0"/>
    <x v="5"/>
    <n v="6"/>
    <n v="11943"/>
    <n v="71658"/>
    <x v="4"/>
    <s v="May-25"/>
  </r>
  <r>
    <d v="2025-05-23T00:00:00"/>
    <x v="1"/>
    <x v="5"/>
    <x v="2"/>
    <n v="3"/>
    <n v="56539"/>
    <n v="169617"/>
    <x v="4"/>
    <s v="May-25"/>
  </r>
  <r>
    <d v="2025-05-23T00:00:00"/>
    <x v="0"/>
    <x v="1"/>
    <x v="1"/>
    <n v="3"/>
    <n v="21889"/>
    <n v="65667"/>
    <x v="4"/>
    <s v="May-25"/>
  </r>
  <r>
    <d v="2025-05-24T00:00:00"/>
    <x v="3"/>
    <x v="5"/>
    <x v="5"/>
    <n v="4"/>
    <n v="54735"/>
    <n v="218940"/>
    <x v="4"/>
    <s v="May-25"/>
  </r>
  <r>
    <d v="2025-05-24T00:00:00"/>
    <x v="3"/>
    <x v="2"/>
    <x v="1"/>
    <n v="2"/>
    <n v="17383"/>
    <n v="34766"/>
    <x v="4"/>
    <s v="May-25"/>
  </r>
  <r>
    <d v="2025-05-24T00:00:00"/>
    <x v="2"/>
    <x v="0"/>
    <x v="7"/>
    <n v="4"/>
    <n v="12403"/>
    <n v="49612"/>
    <x v="4"/>
    <s v="May-25"/>
  </r>
  <r>
    <d v="2025-05-24T00:00:00"/>
    <x v="2"/>
    <x v="1"/>
    <x v="1"/>
    <n v="4"/>
    <n v="23030"/>
    <n v="92120"/>
    <x v="4"/>
    <s v="May-25"/>
  </r>
  <r>
    <d v="2025-05-25T00:00:00"/>
    <x v="0"/>
    <x v="0"/>
    <x v="0"/>
    <n v="5"/>
    <n v="12384"/>
    <n v="61920"/>
    <x v="4"/>
    <s v="May-25"/>
  </r>
  <r>
    <d v="2025-05-25T00:00:00"/>
    <x v="1"/>
    <x v="5"/>
    <x v="3"/>
    <n v="8"/>
    <n v="55307"/>
    <n v="442456"/>
    <x v="4"/>
    <s v="May-25"/>
  </r>
  <r>
    <d v="2025-05-25T00:00:00"/>
    <x v="1"/>
    <x v="5"/>
    <x v="4"/>
    <n v="2"/>
    <n v="56671"/>
    <n v="113342"/>
    <x v="4"/>
    <s v="May-25"/>
  </r>
  <r>
    <d v="2025-05-25T00:00:00"/>
    <x v="1"/>
    <x v="5"/>
    <x v="7"/>
    <n v="1"/>
    <n v="56817"/>
    <n v="56817"/>
    <x v="4"/>
    <s v="May-25"/>
  </r>
  <r>
    <d v="2025-05-25T00:00:00"/>
    <x v="1"/>
    <x v="1"/>
    <x v="2"/>
    <n v="7"/>
    <n v="21718"/>
    <n v="152026"/>
    <x v="4"/>
    <s v="May-25"/>
  </r>
  <r>
    <d v="2025-05-26T00:00:00"/>
    <x v="2"/>
    <x v="5"/>
    <x v="7"/>
    <n v="2"/>
    <n v="53337"/>
    <n v="106674"/>
    <x v="4"/>
    <s v="May-25"/>
  </r>
  <r>
    <d v="2025-05-26T00:00:00"/>
    <x v="3"/>
    <x v="1"/>
    <x v="1"/>
    <n v="6"/>
    <n v="21169"/>
    <n v="127014"/>
    <x v="4"/>
    <s v="May-25"/>
  </r>
  <r>
    <d v="2025-05-27T00:00:00"/>
    <x v="0"/>
    <x v="1"/>
    <x v="3"/>
    <n v="7"/>
    <n v="21991"/>
    <n v="153937"/>
    <x v="4"/>
    <s v="May-25"/>
  </r>
  <r>
    <d v="2025-05-27T00:00:00"/>
    <x v="3"/>
    <x v="0"/>
    <x v="3"/>
    <n v="3"/>
    <n v="11824"/>
    <n v="35472"/>
    <x v="4"/>
    <s v="May-25"/>
  </r>
  <r>
    <d v="2025-05-27T00:00:00"/>
    <x v="1"/>
    <x v="2"/>
    <x v="0"/>
    <n v="8"/>
    <n v="18690"/>
    <n v="149520"/>
    <x v="4"/>
    <s v="May-25"/>
  </r>
  <r>
    <d v="2025-05-27T00:00:00"/>
    <x v="0"/>
    <x v="4"/>
    <x v="2"/>
    <n v="5"/>
    <n v="7999"/>
    <n v="39995"/>
    <x v="4"/>
    <s v="May-25"/>
  </r>
  <r>
    <d v="2025-05-27T00:00:00"/>
    <x v="3"/>
    <x v="5"/>
    <x v="1"/>
    <n v="5"/>
    <n v="54356"/>
    <n v="271780"/>
    <x v="4"/>
    <s v="May-25"/>
  </r>
  <r>
    <d v="2025-05-28T00:00:00"/>
    <x v="1"/>
    <x v="0"/>
    <x v="2"/>
    <n v="9"/>
    <n v="12353"/>
    <n v="111177"/>
    <x v="4"/>
    <s v="May-25"/>
  </r>
  <r>
    <d v="2025-05-28T00:00:00"/>
    <x v="3"/>
    <x v="0"/>
    <x v="5"/>
    <n v="8"/>
    <n v="12053"/>
    <n v="96424"/>
    <x v="4"/>
    <s v="May-25"/>
  </r>
  <r>
    <d v="2025-05-28T00:00:00"/>
    <x v="3"/>
    <x v="2"/>
    <x v="5"/>
    <n v="7"/>
    <n v="17586"/>
    <n v="123102"/>
    <x v="4"/>
    <s v="May-25"/>
  </r>
  <r>
    <d v="2025-05-28T00:00:00"/>
    <x v="0"/>
    <x v="2"/>
    <x v="2"/>
    <n v="1"/>
    <n v="18712"/>
    <n v="18712"/>
    <x v="4"/>
    <s v="May-25"/>
  </r>
  <r>
    <d v="2025-05-28T00:00:00"/>
    <x v="2"/>
    <x v="5"/>
    <x v="4"/>
    <n v="9"/>
    <n v="54215"/>
    <n v="487935"/>
    <x v="4"/>
    <s v="May-25"/>
  </r>
  <r>
    <d v="2025-05-29T00:00:00"/>
    <x v="1"/>
    <x v="1"/>
    <x v="1"/>
    <n v="4"/>
    <n v="22345"/>
    <n v="89380"/>
    <x v="4"/>
    <s v="May-25"/>
  </r>
  <r>
    <d v="2025-05-29T00:00:00"/>
    <x v="2"/>
    <x v="4"/>
    <x v="7"/>
    <n v="4"/>
    <n v="8060"/>
    <n v="32240"/>
    <x v="4"/>
    <s v="May-25"/>
  </r>
  <r>
    <d v="2025-05-29T00:00:00"/>
    <x v="3"/>
    <x v="2"/>
    <x v="6"/>
    <n v="3"/>
    <n v="17525"/>
    <n v="52575"/>
    <x v="4"/>
    <s v="May-25"/>
  </r>
  <r>
    <d v="2025-05-29T00:00:00"/>
    <x v="2"/>
    <x v="0"/>
    <x v="5"/>
    <n v="10"/>
    <n v="11433"/>
    <n v="114330"/>
    <x v="4"/>
    <s v="May-25"/>
  </r>
  <r>
    <d v="2025-05-29T00:00:00"/>
    <x v="2"/>
    <x v="4"/>
    <x v="6"/>
    <n v="10"/>
    <n v="8358"/>
    <n v="83580"/>
    <x v="4"/>
    <s v="May-25"/>
  </r>
  <r>
    <d v="2025-05-29T00:00:00"/>
    <x v="3"/>
    <x v="4"/>
    <x v="0"/>
    <n v="3"/>
    <n v="7992"/>
    <n v="23976"/>
    <x v="4"/>
    <s v="May-25"/>
  </r>
  <r>
    <d v="2025-05-30T00:00:00"/>
    <x v="0"/>
    <x v="1"/>
    <x v="2"/>
    <n v="1"/>
    <n v="22058"/>
    <n v="22058"/>
    <x v="4"/>
    <s v="May-25"/>
  </r>
  <r>
    <d v="2025-05-30T00:00:00"/>
    <x v="0"/>
    <x v="2"/>
    <x v="2"/>
    <n v="3"/>
    <n v="17713"/>
    <n v="53139"/>
    <x v="4"/>
    <s v="May-25"/>
  </r>
  <r>
    <d v="2025-05-31T00:00:00"/>
    <x v="2"/>
    <x v="5"/>
    <x v="7"/>
    <n v="3"/>
    <n v="55476"/>
    <n v="166428"/>
    <x v="4"/>
    <s v="May-25"/>
  </r>
  <r>
    <d v="2025-05-31T00:00:00"/>
    <x v="1"/>
    <x v="5"/>
    <x v="5"/>
    <n v="2"/>
    <n v="54304"/>
    <n v="108608"/>
    <x v="4"/>
    <s v="May-25"/>
  </r>
  <r>
    <d v="2025-05-31T00:00:00"/>
    <x v="3"/>
    <x v="4"/>
    <x v="1"/>
    <n v="6"/>
    <n v="7841"/>
    <n v="47046"/>
    <x v="4"/>
    <s v="May-25"/>
  </r>
  <r>
    <d v="2025-06-01T00:00:00"/>
    <x v="1"/>
    <x v="0"/>
    <x v="3"/>
    <n v="8"/>
    <n v="12179"/>
    <n v="97432"/>
    <x v="5"/>
    <s v="Jun-25"/>
  </r>
  <r>
    <d v="2025-06-01T00:00:00"/>
    <x v="1"/>
    <x v="0"/>
    <x v="5"/>
    <n v="4"/>
    <n v="12198"/>
    <n v="48792"/>
    <x v="5"/>
    <s v="Jun-25"/>
  </r>
  <r>
    <d v="2025-06-01T00:00:00"/>
    <x v="1"/>
    <x v="3"/>
    <x v="0"/>
    <n v="5"/>
    <n v="3369"/>
    <n v="16845"/>
    <x v="5"/>
    <s v="Jun-25"/>
  </r>
  <r>
    <d v="2025-06-02T00:00:00"/>
    <x v="3"/>
    <x v="4"/>
    <x v="7"/>
    <n v="3"/>
    <n v="8081"/>
    <n v="24243"/>
    <x v="5"/>
    <s v="Jun-25"/>
  </r>
  <r>
    <d v="2025-06-02T00:00:00"/>
    <x v="1"/>
    <x v="0"/>
    <x v="1"/>
    <n v="8"/>
    <n v="11568"/>
    <n v="92544"/>
    <x v="5"/>
    <s v="Jun-25"/>
  </r>
  <r>
    <d v="2025-06-03T00:00:00"/>
    <x v="1"/>
    <x v="2"/>
    <x v="5"/>
    <n v="3"/>
    <n v="18245"/>
    <n v="54735"/>
    <x v="5"/>
    <s v="Jun-25"/>
  </r>
  <r>
    <d v="2025-06-03T00:00:00"/>
    <x v="0"/>
    <x v="0"/>
    <x v="5"/>
    <n v="8"/>
    <n v="11413"/>
    <n v="91304"/>
    <x v="5"/>
    <s v="Jun-25"/>
  </r>
  <r>
    <d v="2025-06-04T00:00:00"/>
    <x v="1"/>
    <x v="0"/>
    <x v="1"/>
    <n v="6"/>
    <n v="11707"/>
    <n v="70242"/>
    <x v="5"/>
    <s v="Jun-25"/>
  </r>
  <r>
    <d v="2025-06-04T00:00:00"/>
    <x v="0"/>
    <x v="0"/>
    <x v="7"/>
    <n v="1"/>
    <n v="11863"/>
    <n v="11863"/>
    <x v="5"/>
    <s v="Jun-25"/>
  </r>
  <r>
    <d v="2025-06-04T00:00:00"/>
    <x v="3"/>
    <x v="1"/>
    <x v="3"/>
    <n v="8"/>
    <n v="22839"/>
    <n v="182712"/>
    <x v="5"/>
    <s v="Jun-25"/>
  </r>
  <r>
    <d v="2025-06-05T00:00:00"/>
    <x v="3"/>
    <x v="5"/>
    <x v="4"/>
    <n v="10"/>
    <n v="55830"/>
    <n v="558300"/>
    <x v="5"/>
    <s v="Jun-25"/>
  </r>
  <r>
    <d v="2025-06-05T00:00:00"/>
    <x v="1"/>
    <x v="1"/>
    <x v="4"/>
    <n v="2"/>
    <n v="22658"/>
    <n v="45316"/>
    <x v="5"/>
    <s v="Jun-25"/>
  </r>
  <r>
    <d v="2025-06-05T00:00:00"/>
    <x v="0"/>
    <x v="2"/>
    <x v="7"/>
    <n v="6"/>
    <n v="17570"/>
    <n v="105420"/>
    <x v="5"/>
    <s v="Jun-25"/>
  </r>
  <r>
    <d v="2025-06-05T00:00:00"/>
    <x v="0"/>
    <x v="5"/>
    <x v="5"/>
    <n v="3"/>
    <n v="57133"/>
    <n v="171399"/>
    <x v="5"/>
    <s v="Jun-25"/>
  </r>
  <r>
    <d v="2025-06-06T00:00:00"/>
    <x v="0"/>
    <x v="4"/>
    <x v="1"/>
    <n v="6"/>
    <n v="8075"/>
    <n v="48450"/>
    <x v="5"/>
    <s v="Jun-25"/>
  </r>
  <r>
    <d v="2025-06-06T00:00:00"/>
    <x v="3"/>
    <x v="0"/>
    <x v="7"/>
    <n v="7"/>
    <n v="12530"/>
    <n v="87710"/>
    <x v="5"/>
    <s v="Jun-25"/>
  </r>
  <r>
    <d v="2025-06-06T00:00:00"/>
    <x v="1"/>
    <x v="4"/>
    <x v="3"/>
    <n v="3"/>
    <n v="7642"/>
    <n v="22926"/>
    <x v="5"/>
    <s v="Jun-25"/>
  </r>
  <r>
    <d v="2025-06-07T00:00:00"/>
    <x v="1"/>
    <x v="1"/>
    <x v="3"/>
    <n v="9"/>
    <n v="22488"/>
    <n v="202392"/>
    <x v="5"/>
    <s v="Jun-25"/>
  </r>
  <r>
    <d v="2025-06-07T00:00:00"/>
    <x v="2"/>
    <x v="0"/>
    <x v="0"/>
    <n v="5"/>
    <n v="11685"/>
    <n v="58425"/>
    <x v="5"/>
    <s v="Jun-25"/>
  </r>
  <r>
    <d v="2025-06-07T00:00:00"/>
    <x v="0"/>
    <x v="3"/>
    <x v="4"/>
    <n v="3"/>
    <n v="3344"/>
    <n v="10032"/>
    <x v="5"/>
    <s v="Jun-25"/>
  </r>
  <r>
    <d v="2025-06-07T00:00:00"/>
    <x v="0"/>
    <x v="3"/>
    <x v="1"/>
    <n v="5"/>
    <n v="3613"/>
    <n v="18065"/>
    <x v="5"/>
    <s v="Jun-25"/>
  </r>
  <r>
    <d v="2025-06-08T00:00:00"/>
    <x v="3"/>
    <x v="1"/>
    <x v="1"/>
    <n v="1"/>
    <n v="21355"/>
    <n v="21355"/>
    <x v="5"/>
    <s v="Jun-25"/>
  </r>
  <r>
    <d v="2025-06-08T00:00:00"/>
    <x v="2"/>
    <x v="5"/>
    <x v="4"/>
    <n v="2"/>
    <n v="53945"/>
    <n v="107890"/>
    <x v="5"/>
    <s v="Jun-25"/>
  </r>
  <r>
    <d v="2025-06-08T00:00:00"/>
    <x v="3"/>
    <x v="3"/>
    <x v="4"/>
    <n v="5"/>
    <n v="3356"/>
    <n v="16780"/>
    <x v="5"/>
    <s v="Jun-25"/>
  </r>
  <r>
    <d v="2025-06-08T00:00:00"/>
    <x v="3"/>
    <x v="1"/>
    <x v="5"/>
    <n v="7"/>
    <n v="21712"/>
    <n v="151984"/>
    <x v="5"/>
    <s v="Jun-25"/>
  </r>
  <r>
    <d v="2025-06-08T00:00:00"/>
    <x v="3"/>
    <x v="5"/>
    <x v="0"/>
    <n v="8"/>
    <n v="54807"/>
    <n v="438456"/>
    <x v="5"/>
    <s v="Jun-25"/>
  </r>
  <r>
    <d v="2025-06-08T00:00:00"/>
    <x v="1"/>
    <x v="2"/>
    <x v="7"/>
    <n v="3"/>
    <n v="18454"/>
    <n v="55362"/>
    <x v="5"/>
    <s v="Jun-25"/>
  </r>
  <r>
    <d v="2025-06-09T00:00:00"/>
    <x v="0"/>
    <x v="0"/>
    <x v="5"/>
    <n v="9"/>
    <n v="11896"/>
    <n v="107064"/>
    <x v="5"/>
    <s v="Jun-25"/>
  </r>
  <r>
    <d v="2025-06-09T00:00:00"/>
    <x v="1"/>
    <x v="4"/>
    <x v="7"/>
    <n v="7"/>
    <n v="8254"/>
    <n v="57778"/>
    <x v="5"/>
    <s v="Jun-25"/>
  </r>
  <r>
    <d v="2025-06-10T00:00:00"/>
    <x v="3"/>
    <x v="4"/>
    <x v="2"/>
    <n v="8"/>
    <n v="7839"/>
    <n v="62712"/>
    <x v="5"/>
    <s v="Jun-25"/>
  </r>
  <r>
    <d v="2025-06-10T00:00:00"/>
    <x v="3"/>
    <x v="0"/>
    <x v="7"/>
    <n v="9"/>
    <n v="12085"/>
    <n v="108765"/>
    <x v="5"/>
    <s v="Jun-25"/>
  </r>
  <r>
    <d v="2025-06-10T00:00:00"/>
    <x v="1"/>
    <x v="5"/>
    <x v="4"/>
    <n v="3"/>
    <n v="57469"/>
    <n v="172407"/>
    <x v="5"/>
    <s v="Jun-25"/>
  </r>
  <r>
    <d v="2025-06-10T00:00:00"/>
    <x v="1"/>
    <x v="1"/>
    <x v="2"/>
    <n v="3"/>
    <n v="20993"/>
    <n v="62979"/>
    <x v="5"/>
    <s v="Jun-25"/>
  </r>
  <r>
    <d v="2025-06-10T00:00:00"/>
    <x v="0"/>
    <x v="0"/>
    <x v="3"/>
    <n v="4"/>
    <n v="12596"/>
    <n v="50384"/>
    <x v="5"/>
    <s v="Jun-25"/>
  </r>
  <r>
    <d v="2025-06-11T00:00:00"/>
    <x v="2"/>
    <x v="2"/>
    <x v="1"/>
    <n v="2"/>
    <n v="17798"/>
    <n v="35596"/>
    <x v="5"/>
    <s v="Jun-25"/>
  </r>
  <r>
    <d v="2025-06-11T00:00:00"/>
    <x v="3"/>
    <x v="4"/>
    <x v="5"/>
    <n v="5"/>
    <n v="8015"/>
    <n v="40075"/>
    <x v="5"/>
    <s v="Jun-25"/>
  </r>
  <r>
    <d v="2025-06-11T00:00:00"/>
    <x v="0"/>
    <x v="0"/>
    <x v="3"/>
    <n v="2"/>
    <n v="11897"/>
    <n v="23794"/>
    <x v="5"/>
    <s v="Jun-25"/>
  </r>
  <r>
    <d v="2025-06-12T00:00:00"/>
    <x v="0"/>
    <x v="5"/>
    <x v="1"/>
    <n v="5"/>
    <n v="57021"/>
    <n v="285105"/>
    <x v="5"/>
    <s v="Jun-25"/>
  </r>
  <r>
    <d v="2025-06-12T00:00:00"/>
    <x v="2"/>
    <x v="3"/>
    <x v="0"/>
    <n v="7"/>
    <n v="3554"/>
    <n v="24878"/>
    <x v="5"/>
    <s v="Jun-25"/>
  </r>
  <r>
    <d v="2025-06-12T00:00:00"/>
    <x v="3"/>
    <x v="5"/>
    <x v="6"/>
    <n v="5"/>
    <n v="54466"/>
    <n v="272330"/>
    <x v="5"/>
    <s v="Jun-25"/>
  </r>
  <r>
    <d v="2025-06-13T00:00:00"/>
    <x v="3"/>
    <x v="5"/>
    <x v="3"/>
    <n v="6"/>
    <n v="56047"/>
    <n v="336282"/>
    <x v="5"/>
    <s v="Jun-25"/>
  </r>
  <r>
    <d v="2025-06-13T00:00:00"/>
    <x v="0"/>
    <x v="0"/>
    <x v="4"/>
    <n v="5"/>
    <n v="12476"/>
    <n v="62380"/>
    <x v="5"/>
    <s v="Jun-25"/>
  </r>
  <r>
    <d v="2025-06-13T00:00:00"/>
    <x v="0"/>
    <x v="2"/>
    <x v="0"/>
    <n v="5"/>
    <n v="17604"/>
    <n v="88020"/>
    <x v="5"/>
    <s v="Jun-25"/>
  </r>
  <r>
    <d v="2025-06-13T00:00:00"/>
    <x v="3"/>
    <x v="0"/>
    <x v="1"/>
    <n v="4"/>
    <n v="11561"/>
    <n v="46244"/>
    <x v="5"/>
    <s v="Jun-25"/>
  </r>
  <r>
    <d v="2025-06-13T00:00:00"/>
    <x v="3"/>
    <x v="2"/>
    <x v="0"/>
    <n v="7"/>
    <n v="18188"/>
    <n v="127316"/>
    <x v="5"/>
    <s v="Jun-25"/>
  </r>
  <r>
    <d v="2025-06-13T00:00:00"/>
    <x v="0"/>
    <x v="1"/>
    <x v="4"/>
    <n v="4"/>
    <n v="22909"/>
    <n v="91636"/>
    <x v="5"/>
    <s v="Jun-25"/>
  </r>
  <r>
    <d v="2025-06-14T00:00:00"/>
    <x v="3"/>
    <x v="4"/>
    <x v="5"/>
    <n v="1"/>
    <n v="8012"/>
    <n v="8012"/>
    <x v="5"/>
    <s v="Jun-25"/>
  </r>
  <r>
    <d v="2025-06-14T00:00:00"/>
    <x v="1"/>
    <x v="5"/>
    <x v="0"/>
    <n v="9"/>
    <n v="54468"/>
    <n v="490212"/>
    <x v="5"/>
    <s v="Jun-25"/>
  </r>
  <r>
    <d v="2025-06-14T00:00:00"/>
    <x v="0"/>
    <x v="1"/>
    <x v="2"/>
    <n v="4"/>
    <n v="22741"/>
    <n v="90964"/>
    <x v="5"/>
    <s v="Jun-25"/>
  </r>
  <r>
    <d v="2025-06-14T00:00:00"/>
    <x v="1"/>
    <x v="5"/>
    <x v="4"/>
    <n v="1"/>
    <n v="57299"/>
    <n v="57299"/>
    <x v="5"/>
    <s v="Jun-25"/>
  </r>
  <r>
    <d v="2025-06-14T00:00:00"/>
    <x v="1"/>
    <x v="2"/>
    <x v="5"/>
    <n v="8"/>
    <n v="18009"/>
    <n v="144072"/>
    <x v="5"/>
    <s v="Jun-25"/>
  </r>
  <r>
    <d v="2025-06-15T00:00:00"/>
    <x v="0"/>
    <x v="1"/>
    <x v="5"/>
    <n v="8"/>
    <n v="22206"/>
    <n v="177648"/>
    <x v="5"/>
    <s v="Jun-25"/>
  </r>
  <r>
    <d v="2025-06-15T00:00:00"/>
    <x v="1"/>
    <x v="3"/>
    <x v="5"/>
    <n v="6"/>
    <n v="3382"/>
    <n v="20292"/>
    <x v="5"/>
    <s v="Jun-25"/>
  </r>
  <r>
    <d v="2025-06-16T00:00:00"/>
    <x v="0"/>
    <x v="2"/>
    <x v="7"/>
    <n v="7"/>
    <n v="17189"/>
    <n v="120323"/>
    <x v="5"/>
    <s v="Jun-25"/>
  </r>
  <r>
    <d v="2025-06-16T00:00:00"/>
    <x v="1"/>
    <x v="1"/>
    <x v="2"/>
    <n v="4"/>
    <n v="21491"/>
    <n v="85964"/>
    <x v="5"/>
    <s v="Jun-25"/>
  </r>
  <r>
    <d v="2025-06-16T00:00:00"/>
    <x v="3"/>
    <x v="4"/>
    <x v="7"/>
    <n v="1"/>
    <n v="7979"/>
    <n v="7979"/>
    <x v="5"/>
    <s v="Jun-25"/>
  </r>
  <r>
    <d v="2025-06-16T00:00:00"/>
    <x v="1"/>
    <x v="0"/>
    <x v="6"/>
    <n v="10"/>
    <n v="12361"/>
    <n v="123610"/>
    <x v="5"/>
    <s v="Jun-25"/>
  </r>
  <r>
    <d v="2025-06-17T00:00:00"/>
    <x v="2"/>
    <x v="4"/>
    <x v="0"/>
    <n v="5"/>
    <n v="7939"/>
    <n v="39695"/>
    <x v="5"/>
    <s v="Jun-25"/>
  </r>
  <r>
    <d v="2025-06-17T00:00:00"/>
    <x v="3"/>
    <x v="2"/>
    <x v="4"/>
    <n v="5"/>
    <n v="17492"/>
    <n v="87460"/>
    <x v="5"/>
    <s v="Jun-25"/>
  </r>
  <r>
    <d v="2025-06-17T00:00:00"/>
    <x v="2"/>
    <x v="0"/>
    <x v="3"/>
    <n v="10"/>
    <n v="11522"/>
    <n v="115220"/>
    <x v="5"/>
    <s v="Jun-25"/>
  </r>
  <r>
    <d v="2025-06-18T00:00:00"/>
    <x v="2"/>
    <x v="4"/>
    <x v="0"/>
    <n v="5"/>
    <n v="8147"/>
    <n v="40735"/>
    <x v="5"/>
    <s v="Jun-25"/>
  </r>
  <r>
    <d v="2025-06-18T00:00:00"/>
    <x v="3"/>
    <x v="5"/>
    <x v="5"/>
    <n v="5"/>
    <n v="55773"/>
    <n v="278865"/>
    <x v="5"/>
    <s v="Jun-25"/>
  </r>
  <r>
    <d v="2025-06-18T00:00:00"/>
    <x v="2"/>
    <x v="2"/>
    <x v="0"/>
    <n v="4"/>
    <n v="17369"/>
    <n v="69476"/>
    <x v="5"/>
    <s v="Jun-25"/>
  </r>
  <r>
    <d v="2025-06-18T00:00:00"/>
    <x v="1"/>
    <x v="5"/>
    <x v="3"/>
    <n v="6"/>
    <n v="55994"/>
    <n v="335964"/>
    <x v="5"/>
    <s v="Jun-25"/>
  </r>
  <r>
    <d v="2025-06-18T00:00:00"/>
    <x v="0"/>
    <x v="0"/>
    <x v="4"/>
    <n v="5"/>
    <n v="11711"/>
    <n v="58555"/>
    <x v="5"/>
    <s v="Jun-25"/>
  </r>
  <r>
    <d v="2025-06-18T00:00:00"/>
    <x v="3"/>
    <x v="3"/>
    <x v="3"/>
    <n v="1"/>
    <n v="3529"/>
    <n v="3529"/>
    <x v="5"/>
    <s v="Jun-25"/>
  </r>
  <r>
    <d v="2025-06-19T00:00:00"/>
    <x v="1"/>
    <x v="2"/>
    <x v="2"/>
    <n v="9"/>
    <n v="18248"/>
    <n v="164232"/>
    <x v="5"/>
    <s v="Jun-25"/>
  </r>
  <r>
    <d v="2025-06-19T00:00:00"/>
    <x v="3"/>
    <x v="0"/>
    <x v="5"/>
    <n v="9"/>
    <n v="11760"/>
    <n v="105840"/>
    <x v="5"/>
    <s v="Jun-25"/>
  </r>
  <r>
    <d v="2025-06-19T00:00:00"/>
    <x v="1"/>
    <x v="0"/>
    <x v="6"/>
    <n v="5"/>
    <n v="11517"/>
    <n v="57585"/>
    <x v="5"/>
    <s v="Jun-25"/>
  </r>
  <r>
    <d v="2025-06-19T00:00:00"/>
    <x v="1"/>
    <x v="0"/>
    <x v="0"/>
    <n v="9"/>
    <n v="12315"/>
    <n v="110835"/>
    <x v="5"/>
    <s v="Jun-25"/>
  </r>
  <r>
    <d v="2025-06-19T00:00:00"/>
    <x v="1"/>
    <x v="0"/>
    <x v="5"/>
    <n v="2"/>
    <n v="11666"/>
    <n v="23332"/>
    <x v="5"/>
    <s v="Jun-25"/>
  </r>
  <r>
    <d v="2025-06-19T00:00:00"/>
    <x v="1"/>
    <x v="0"/>
    <x v="0"/>
    <n v="7"/>
    <n v="12345"/>
    <n v="86415"/>
    <x v="5"/>
    <s v="Jun-25"/>
  </r>
  <r>
    <d v="2025-06-20T00:00:00"/>
    <x v="2"/>
    <x v="2"/>
    <x v="0"/>
    <n v="8"/>
    <n v="18632"/>
    <n v="149056"/>
    <x v="5"/>
    <s v="Jun-25"/>
  </r>
  <r>
    <d v="2025-06-20T00:00:00"/>
    <x v="3"/>
    <x v="5"/>
    <x v="1"/>
    <n v="8"/>
    <n v="57141"/>
    <n v="457128"/>
    <x v="5"/>
    <s v="Jun-25"/>
  </r>
  <r>
    <d v="2025-06-20T00:00:00"/>
    <x v="0"/>
    <x v="0"/>
    <x v="3"/>
    <n v="9"/>
    <n v="11758"/>
    <n v="105822"/>
    <x v="5"/>
    <s v="Jun-25"/>
  </r>
  <r>
    <d v="2025-06-20T00:00:00"/>
    <x v="0"/>
    <x v="1"/>
    <x v="6"/>
    <n v="4"/>
    <n v="21653"/>
    <n v="86612"/>
    <x v="5"/>
    <s v="Jun-25"/>
  </r>
  <r>
    <d v="2025-06-21T00:00:00"/>
    <x v="3"/>
    <x v="1"/>
    <x v="5"/>
    <n v="3"/>
    <n v="22613"/>
    <n v="67839"/>
    <x v="5"/>
    <s v="Jun-25"/>
  </r>
  <r>
    <d v="2025-06-21T00:00:00"/>
    <x v="3"/>
    <x v="2"/>
    <x v="6"/>
    <n v="6"/>
    <n v="18242"/>
    <n v="109452"/>
    <x v="5"/>
    <s v="Jun-25"/>
  </r>
  <r>
    <d v="2025-06-21T00:00:00"/>
    <x v="0"/>
    <x v="3"/>
    <x v="0"/>
    <n v="4"/>
    <n v="3591"/>
    <n v="14364"/>
    <x v="5"/>
    <s v="Jun-25"/>
  </r>
  <r>
    <d v="2025-06-21T00:00:00"/>
    <x v="1"/>
    <x v="4"/>
    <x v="6"/>
    <n v="8"/>
    <n v="8228"/>
    <n v="65824"/>
    <x v="5"/>
    <s v="Jun-25"/>
  </r>
  <r>
    <d v="2025-06-21T00:00:00"/>
    <x v="0"/>
    <x v="1"/>
    <x v="3"/>
    <n v="7"/>
    <n v="21787"/>
    <n v="152509"/>
    <x v="5"/>
    <s v="Jun-25"/>
  </r>
  <r>
    <d v="2025-06-21T00:00:00"/>
    <x v="3"/>
    <x v="3"/>
    <x v="7"/>
    <n v="1"/>
    <n v="3511"/>
    <n v="3511"/>
    <x v="5"/>
    <s v="Jun-25"/>
  </r>
  <r>
    <d v="2025-06-22T00:00:00"/>
    <x v="0"/>
    <x v="2"/>
    <x v="2"/>
    <n v="1"/>
    <n v="18318"/>
    <n v="18318"/>
    <x v="5"/>
    <s v="Jun-25"/>
  </r>
  <r>
    <d v="2025-06-22T00:00:00"/>
    <x v="1"/>
    <x v="1"/>
    <x v="5"/>
    <n v="5"/>
    <n v="21183"/>
    <n v="105915"/>
    <x v="5"/>
    <s v="Jun-25"/>
  </r>
  <r>
    <d v="2025-06-22T00:00:00"/>
    <x v="3"/>
    <x v="4"/>
    <x v="0"/>
    <n v="3"/>
    <n v="7652"/>
    <n v="22956"/>
    <x v="5"/>
    <s v="Jun-25"/>
  </r>
  <r>
    <d v="2025-06-22T00:00:00"/>
    <x v="0"/>
    <x v="2"/>
    <x v="0"/>
    <n v="8"/>
    <n v="18410"/>
    <n v="147280"/>
    <x v="5"/>
    <s v="Jun-25"/>
  </r>
  <r>
    <d v="2025-06-23T00:00:00"/>
    <x v="2"/>
    <x v="3"/>
    <x v="6"/>
    <n v="6"/>
    <n v="3673"/>
    <n v="22038"/>
    <x v="5"/>
    <s v="Jun-25"/>
  </r>
  <r>
    <d v="2025-06-23T00:00:00"/>
    <x v="3"/>
    <x v="2"/>
    <x v="2"/>
    <n v="3"/>
    <n v="18806"/>
    <n v="56418"/>
    <x v="5"/>
    <s v="Jun-25"/>
  </r>
  <r>
    <d v="2025-06-23T00:00:00"/>
    <x v="3"/>
    <x v="5"/>
    <x v="2"/>
    <n v="4"/>
    <n v="56249"/>
    <n v="224996"/>
    <x v="5"/>
    <s v="Jun-25"/>
  </r>
  <r>
    <d v="2025-06-23T00:00:00"/>
    <x v="1"/>
    <x v="1"/>
    <x v="7"/>
    <n v="10"/>
    <n v="22010"/>
    <n v="220100"/>
    <x v="5"/>
    <s v="Jun-25"/>
  </r>
  <r>
    <d v="2025-06-23T00:00:00"/>
    <x v="0"/>
    <x v="2"/>
    <x v="7"/>
    <n v="7"/>
    <n v="18677"/>
    <n v="130739"/>
    <x v="5"/>
    <s v="Jun-25"/>
  </r>
  <r>
    <d v="2025-06-23T00:00:00"/>
    <x v="2"/>
    <x v="4"/>
    <x v="7"/>
    <n v="10"/>
    <n v="8395"/>
    <n v="83950"/>
    <x v="5"/>
    <s v="Jun-25"/>
  </r>
  <r>
    <d v="2025-06-24T00:00:00"/>
    <x v="0"/>
    <x v="5"/>
    <x v="1"/>
    <n v="7"/>
    <n v="54693"/>
    <n v="382851"/>
    <x v="5"/>
    <s v="Jun-25"/>
  </r>
  <r>
    <d v="2025-06-24T00:00:00"/>
    <x v="0"/>
    <x v="4"/>
    <x v="0"/>
    <n v="8"/>
    <n v="8161"/>
    <n v="65288"/>
    <x v="5"/>
    <s v="Jun-25"/>
  </r>
  <r>
    <d v="2025-06-25T00:00:00"/>
    <x v="0"/>
    <x v="2"/>
    <x v="3"/>
    <n v="2"/>
    <n v="18292"/>
    <n v="36584"/>
    <x v="5"/>
    <s v="Jun-25"/>
  </r>
  <r>
    <d v="2025-06-25T00:00:00"/>
    <x v="2"/>
    <x v="4"/>
    <x v="6"/>
    <n v="7"/>
    <n v="8264"/>
    <n v="57848"/>
    <x v="5"/>
    <s v="Jun-25"/>
  </r>
  <r>
    <d v="2025-06-25T00:00:00"/>
    <x v="0"/>
    <x v="4"/>
    <x v="1"/>
    <n v="5"/>
    <n v="7691"/>
    <n v="38455"/>
    <x v="5"/>
    <s v="Jun-25"/>
  </r>
  <r>
    <d v="2025-06-26T00:00:00"/>
    <x v="3"/>
    <x v="1"/>
    <x v="2"/>
    <n v="5"/>
    <n v="22729"/>
    <n v="113645"/>
    <x v="5"/>
    <s v="Jun-25"/>
  </r>
  <r>
    <d v="2025-06-26T00:00:00"/>
    <x v="1"/>
    <x v="2"/>
    <x v="3"/>
    <n v="5"/>
    <n v="17388"/>
    <n v="86940"/>
    <x v="5"/>
    <s v="Jun-25"/>
  </r>
  <r>
    <d v="2025-06-27T00:00:00"/>
    <x v="3"/>
    <x v="1"/>
    <x v="4"/>
    <n v="6"/>
    <n v="21415"/>
    <n v="128490"/>
    <x v="5"/>
    <s v="Jun-25"/>
  </r>
  <r>
    <d v="2025-06-27T00:00:00"/>
    <x v="0"/>
    <x v="0"/>
    <x v="1"/>
    <n v="2"/>
    <n v="12402"/>
    <n v="24804"/>
    <x v="5"/>
    <s v="Jun-25"/>
  </r>
  <r>
    <d v="2025-06-27T00:00:00"/>
    <x v="3"/>
    <x v="1"/>
    <x v="1"/>
    <n v="9"/>
    <n v="21065"/>
    <n v="189585"/>
    <x v="5"/>
    <s v="Jun-25"/>
  </r>
  <r>
    <d v="2025-06-27T00:00:00"/>
    <x v="0"/>
    <x v="2"/>
    <x v="2"/>
    <n v="8"/>
    <n v="18879"/>
    <n v="151032"/>
    <x v="5"/>
    <s v="Jun-25"/>
  </r>
  <r>
    <d v="2025-06-27T00:00:00"/>
    <x v="2"/>
    <x v="2"/>
    <x v="4"/>
    <n v="1"/>
    <n v="17279"/>
    <n v="17279"/>
    <x v="5"/>
    <s v="Jun-25"/>
  </r>
  <r>
    <d v="2025-06-27T00:00:00"/>
    <x v="1"/>
    <x v="5"/>
    <x v="0"/>
    <n v="6"/>
    <n v="56658"/>
    <n v="339948"/>
    <x v="5"/>
    <s v="Jun-25"/>
  </r>
  <r>
    <d v="2025-06-28T00:00:00"/>
    <x v="3"/>
    <x v="0"/>
    <x v="1"/>
    <n v="2"/>
    <n v="12421"/>
    <n v="24842"/>
    <x v="5"/>
    <s v="Jun-25"/>
  </r>
  <r>
    <d v="2025-06-28T00:00:00"/>
    <x v="0"/>
    <x v="5"/>
    <x v="6"/>
    <n v="3"/>
    <n v="54057"/>
    <n v="162171"/>
    <x v="5"/>
    <s v="Jun-25"/>
  </r>
  <r>
    <d v="2025-06-28T00:00:00"/>
    <x v="3"/>
    <x v="4"/>
    <x v="0"/>
    <n v="2"/>
    <n v="7898"/>
    <n v="15796"/>
    <x v="5"/>
    <s v="Jun-25"/>
  </r>
  <r>
    <d v="2025-06-28T00:00:00"/>
    <x v="2"/>
    <x v="1"/>
    <x v="1"/>
    <n v="7"/>
    <n v="21780"/>
    <n v="152460"/>
    <x v="5"/>
    <s v="Jun-25"/>
  </r>
  <r>
    <d v="2025-06-29T00:00:00"/>
    <x v="2"/>
    <x v="3"/>
    <x v="4"/>
    <n v="7"/>
    <n v="3552"/>
    <n v="24864"/>
    <x v="5"/>
    <s v="Jun-25"/>
  </r>
  <r>
    <d v="2025-06-29T00:00:00"/>
    <x v="1"/>
    <x v="5"/>
    <x v="6"/>
    <n v="1"/>
    <n v="57648"/>
    <n v="57648"/>
    <x v="5"/>
    <s v="Jun-25"/>
  </r>
  <r>
    <d v="2025-06-29T00:00:00"/>
    <x v="1"/>
    <x v="5"/>
    <x v="3"/>
    <n v="10"/>
    <n v="54904"/>
    <n v="549040"/>
    <x v="5"/>
    <s v="Jun-25"/>
  </r>
  <r>
    <d v="2025-06-29T00:00:00"/>
    <x v="3"/>
    <x v="1"/>
    <x v="3"/>
    <n v="6"/>
    <n v="22244"/>
    <n v="133464"/>
    <x v="5"/>
    <s v="Jun-25"/>
  </r>
  <r>
    <d v="2025-06-29T00:00:00"/>
    <x v="1"/>
    <x v="3"/>
    <x v="4"/>
    <n v="2"/>
    <n v="3635"/>
    <n v="7270"/>
    <x v="5"/>
    <s v="Jun-25"/>
  </r>
  <r>
    <d v="2025-06-30T00:00:00"/>
    <x v="0"/>
    <x v="5"/>
    <x v="0"/>
    <n v="6"/>
    <n v="52317"/>
    <n v="313902"/>
    <x v="5"/>
    <s v="Jun-25"/>
  </r>
  <r>
    <d v="2025-06-30T00:00:00"/>
    <x v="1"/>
    <x v="0"/>
    <x v="5"/>
    <n v="9"/>
    <n v="12027"/>
    <n v="108243"/>
    <x v="5"/>
    <s v="Jun-25"/>
  </r>
  <r>
    <d v="2025-06-30T00:00:00"/>
    <x v="0"/>
    <x v="3"/>
    <x v="2"/>
    <n v="8"/>
    <n v="3446"/>
    <n v="27568"/>
    <x v="5"/>
    <s v="Jun-25"/>
  </r>
  <r>
    <d v="2025-06-30T00:00:00"/>
    <x v="3"/>
    <x v="1"/>
    <x v="7"/>
    <n v="1"/>
    <n v="22315"/>
    <n v="22315"/>
    <x v="5"/>
    <s v="Jun-25"/>
  </r>
  <r>
    <d v="2025-06-30T00:00:00"/>
    <x v="1"/>
    <x v="4"/>
    <x v="4"/>
    <n v="8"/>
    <n v="8295"/>
    <n v="66360"/>
    <x v="5"/>
    <s v="Jun-25"/>
  </r>
  <r>
    <d v="2025-07-01T00:00:00"/>
    <x v="3"/>
    <x v="2"/>
    <x v="2"/>
    <n v="6"/>
    <n v="18846"/>
    <n v="113076"/>
    <x v="6"/>
    <s v="Jul-25"/>
  </r>
  <r>
    <d v="2025-07-01T00:00:00"/>
    <x v="0"/>
    <x v="4"/>
    <x v="2"/>
    <n v="9"/>
    <n v="8114"/>
    <n v="73026"/>
    <x v="6"/>
    <s v="Jul-25"/>
  </r>
  <r>
    <d v="2025-07-02T00:00:00"/>
    <x v="1"/>
    <x v="5"/>
    <x v="4"/>
    <n v="8"/>
    <n v="56656"/>
    <n v="453248"/>
    <x v="6"/>
    <s v="Jul-25"/>
  </r>
  <r>
    <d v="2025-07-02T00:00:00"/>
    <x v="3"/>
    <x v="5"/>
    <x v="4"/>
    <n v="8"/>
    <n v="53988"/>
    <n v="431904"/>
    <x v="6"/>
    <s v="Jul-25"/>
  </r>
  <r>
    <d v="2025-07-02T00:00:00"/>
    <x v="3"/>
    <x v="0"/>
    <x v="7"/>
    <n v="2"/>
    <n v="11884"/>
    <n v="23768"/>
    <x v="6"/>
    <s v="Jul-25"/>
  </r>
  <r>
    <d v="2025-07-02T00:00:00"/>
    <x v="0"/>
    <x v="4"/>
    <x v="7"/>
    <n v="2"/>
    <n v="8233"/>
    <n v="16466"/>
    <x v="6"/>
    <s v="Jul-25"/>
  </r>
  <r>
    <d v="2025-07-02T00:00:00"/>
    <x v="2"/>
    <x v="4"/>
    <x v="2"/>
    <n v="8"/>
    <n v="8360"/>
    <n v="66880"/>
    <x v="6"/>
    <s v="Jul-25"/>
  </r>
  <r>
    <d v="2025-07-03T00:00:00"/>
    <x v="0"/>
    <x v="1"/>
    <x v="4"/>
    <n v="6"/>
    <n v="22132"/>
    <n v="132792"/>
    <x v="6"/>
    <s v="Jul-25"/>
  </r>
  <r>
    <d v="2025-07-03T00:00:00"/>
    <x v="3"/>
    <x v="0"/>
    <x v="5"/>
    <n v="8"/>
    <n v="11536"/>
    <n v="92288"/>
    <x v="6"/>
    <s v="Jul-25"/>
  </r>
  <r>
    <d v="2025-07-03T00:00:00"/>
    <x v="1"/>
    <x v="5"/>
    <x v="5"/>
    <n v="6"/>
    <n v="56814"/>
    <n v="340884"/>
    <x v="6"/>
    <s v="Jul-25"/>
  </r>
  <r>
    <d v="2025-07-03T00:00:00"/>
    <x v="2"/>
    <x v="4"/>
    <x v="5"/>
    <n v="2"/>
    <n v="7636"/>
    <n v="15272"/>
    <x v="6"/>
    <s v="Jul-25"/>
  </r>
  <r>
    <d v="2025-07-04T00:00:00"/>
    <x v="3"/>
    <x v="1"/>
    <x v="3"/>
    <n v="2"/>
    <n v="21459"/>
    <n v="42918"/>
    <x v="6"/>
    <s v="Jul-25"/>
  </r>
  <r>
    <d v="2025-07-04T00:00:00"/>
    <x v="1"/>
    <x v="1"/>
    <x v="1"/>
    <n v="7"/>
    <n v="21374"/>
    <n v="149618"/>
    <x v="6"/>
    <s v="Jul-25"/>
  </r>
  <r>
    <d v="2025-07-04T00:00:00"/>
    <x v="1"/>
    <x v="0"/>
    <x v="5"/>
    <n v="2"/>
    <n v="12308"/>
    <n v="24616"/>
    <x v="6"/>
    <s v="Jul-25"/>
  </r>
  <r>
    <d v="2025-07-05T00:00:00"/>
    <x v="0"/>
    <x v="3"/>
    <x v="4"/>
    <n v="10"/>
    <n v="3659"/>
    <n v="36590"/>
    <x v="6"/>
    <s v="Jul-25"/>
  </r>
  <r>
    <d v="2025-07-05T00:00:00"/>
    <x v="1"/>
    <x v="3"/>
    <x v="7"/>
    <n v="9"/>
    <n v="3582"/>
    <n v="32238"/>
    <x v="6"/>
    <s v="Jul-25"/>
  </r>
  <r>
    <d v="2025-07-06T00:00:00"/>
    <x v="3"/>
    <x v="4"/>
    <x v="4"/>
    <n v="9"/>
    <n v="8224"/>
    <n v="74016"/>
    <x v="6"/>
    <s v="Jul-25"/>
  </r>
  <r>
    <d v="2025-07-06T00:00:00"/>
    <x v="1"/>
    <x v="0"/>
    <x v="6"/>
    <n v="3"/>
    <n v="11524"/>
    <n v="34572"/>
    <x v="6"/>
    <s v="Jul-25"/>
  </r>
  <r>
    <d v="2025-07-06T00:00:00"/>
    <x v="2"/>
    <x v="4"/>
    <x v="3"/>
    <n v="7"/>
    <n v="8383"/>
    <n v="58681"/>
    <x v="6"/>
    <s v="Jul-25"/>
  </r>
  <r>
    <d v="2025-07-06T00:00:00"/>
    <x v="1"/>
    <x v="2"/>
    <x v="3"/>
    <n v="6"/>
    <n v="18846"/>
    <n v="113076"/>
    <x v="6"/>
    <s v="Jul-25"/>
  </r>
  <r>
    <d v="2025-07-06T00:00:00"/>
    <x v="3"/>
    <x v="1"/>
    <x v="6"/>
    <n v="7"/>
    <n v="22225"/>
    <n v="155575"/>
    <x v="6"/>
    <s v="Jul-25"/>
  </r>
  <r>
    <d v="2025-07-06T00:00:00"/>
    <x v="2"/>
    <x v="0"/>
    <x v="5"/>
    <n v="9"/>
    <n v="12159"/>
    <n v="109431"/>
    <x v="6"/>
    <s v="Jul-25"/>
  </r>
  <r>
    <d v="2025-07-07T00:00:00"/>
    <x v="1"/>
    <x v="4"/>
    <x v="0"/>
    <n v="6"/>
    <n v="8336"/>
    <n v="50016"/>
    <x v="6"/>
    <s v="Jul-25"/>
  </r>
  <r>
    <d v="2025-07-07T00:00:00"/>
    <x v="1"/>
    <x v="0"/>
    <x v="6"/>
    <n v="9"/>
    <n v="12050"/>
    <n v="108450"/>
    <x v="6"/>
    <s v="Jul-25"/>
  </r>
  <r>
    <d v="2025-07-07T00:00:00"/>
    <x v="2"/>
    <x v="0"/>
    <x v="1"/>
    <n v="6"/>
    <n v="12074"/>
    <n v="72444"/>
    <x v="6"/>
    <s v="Jul-25"/>
  </r>
  <r>
    <d v="2025-07-08T00:00:00"/>
    <x v="3"/>
    <x v="0"/>
    <x v="0"/>
    <n v="7"/>
    <n v="12369"/>
    <n v="86583"/>
    <x v="6"/>
    <s v="Jul-25"/>
  </r>
  <r>
    <d v="2025-07-08T00:00:00"/>
    <x v="0"/>
    <x v="5"/>
    <x v="3"/>
    <n v="3"/>
    <n v="52541"/>
    <n v="157623"/>
    <x v="6"/>
    <s v="Jul-25"/>
  </r>
  <r>
    <d v="2025-07-08T00:00:00"/>
    <x v="0"/>
    <x v="1"/>
    <x v="0"/>
    <n v="3"/>
    <n v="23063"/>
    <n v="69189"/>
    <x v="6"/>
    <s v="Jul-25"/>
  </r>
  <r>
    <d v="2025-07-08T00:00:00"/>
    <x v="2"/>
    <x v="1"/>
    <x v="7"/>
    <n v="5"/>
    <n v="21348"/>
    <n v="106740"/>
    <x v="6"/>
    <s v="Jul-25"/>
  </r>
  <r>
    <d v="2025-07-08T00:00:00"/>
    <x v="0"/>
    <x v="2"/>
    <x v="4"/>
    <n v="2"/>
    <n v="18208"/>
    <n v="36416"/>
    <x v="6"/>
    <s v="Jul-25"/>
  </r>
  <r>
    <d v="2025-07-08T00:00:00"/>
    <x v="1"/>
    <x v="0"/>
    <x v="3"/>
    <n v="4"/>
    <n v="12013"/>
    <n v="48052"/>
    <x v="6"/>
    <s v="Jul-25"/>
  </r>
  <r>
    <d v="2025-07-09T00:00:00"/>
    <x v="0"/>
    <x v="3"/>
    <x v="3"/>
    <n v="7"/>
    <n v="3659"/>
    <n v="25613"/>
    <x v="6"/>
    <s v="Jul-25"/>
  </r>
  <r>
    <d v="2025-07-09T00:00:00"/>
    <x v="2"/>
    <x v="4"/>
    <x v="7"/>
    <n v="1"/>
    <n v="8194"/>
    <n v="8194"/>
    <x v="6"/>
    <s v="Jul-25"/>
  </r>
  <r>
    <d v="2025-07-09T00:00:00"/>
    <x v="1"/>
    <x v="4"/>
    <x v="4"/>
    <n v="4"/>
    <n v="8329"/>
    <n v="33316"/>
    <x v="6"/>
    <s v="Jul-25"/>
  </r>
  <r>
    <d v="2025-07-09T00:00:00"/>
    <x v="2"/>
    <x v="4"/>
    <x v="2"/>
    <n v="4"/>
    <n v="7835"/>
    <n v="31340"/>
    <x v="6"/>
    <s v="Jul-25"/>
  </r>
  <r>
    <d v="2025-07-10T00:00:00"/>
    <x v="0"/>
    <x v="1"/>
    <x v="6"/>
    <n v="9"/>
    <n v="21162"/>
    <n v="190458"/>
    <x v="6"/>
    <s v="Jul-25"/>
  </r>
  <r>
    <d v="2025-07-10T00:00:00"/>
    <x v="0"/>
    <x v="3"/>
    <x v="0"/>
    <n v="9"/>
    <n v="3417"/>
    <n v="30753"/>
    <x v="6"/>
    <s v="Jul-25"/>
  </r>
  <r>
    <d v="2025-07-10T00:00:00"/>
    <x v="1"/>
    <x v="4"/>
    <x v="0"/>
    <n v="1"/>
    <n v="7864"/>
    <n v="7864"/>
    <x v="6"/>
    <s v="Jul-25"/>
  </r>
  <r>
    <d v="2025-07-11T00:00:00"/>
    <x v="0"/>
    <x v="1"/>
    <x v="5"/>
    <n v="10"/>
    <n v="21011"/>
    <n v="210110"/>
    <x v="6"/>
    <s v="Jul-25"/>
  </r>
  <r>
    <d v="2025-07-11T00:00:00"/>
    <x v="2"/>
    <x v="3"/>
    <x v="5"/>
    <n v="2"/>
    <n v="3599"/>
    <n v="7198"/>
    <x v="6"/>
    <s v="Jul-25"/>
  </r>
  <r>
    <d v="2025-07-11T00:00:00"/>
    <x v="2"/>
    <x v="4"/>
    <x v="2"/>
    <n v="3"/>
    <n v="8016"/>
    <n v="24048"/>
    <x v="6"/>
    <s v="Jul-25"/>
  </r>
  <r>
    <d v="2025-07-12T00:00:00"/>
    <x v="1"/>
    <x v="3"/>
    <x v="3"/>
    <n v="2"/>
    <n v="3447"/>
    <n v="6894"/>
    <x v="6"/>
    <s v="Jul-25"/>
  </r>
  <r>
    <d v="2025-07-12T00:00:00"/>
    <x v="1"/>
    <x v="0"/>
    <x v="5"/>
    <n v="6"/>
    <n v="11832"/>
    <n v="70992"/>
    <x v="6"/>
    <s v="Jul-25"/>
  </r>
  <r>
    <d v="2025-07-12T00:00:00"/>
    <x v="1"/>
    <x v="4"/>
    <x v="4"/>
    <n v="9"/>
    <n v="8258"/>
    <n v="74322"/>
    <x v="6"/>
    <s v="Jul-25"/>
  </r>
  <r>
    <d v="2025-07-12T00:00:00"/>
    <x v="0"/>
    <x v="5"/>
    <x v="5"/>
    <n v="8"/>
    <n v="53571"/>
    <n v="428568"/>
    <x v="6"/>
    <s v="Jul-25"/>
  </r>
  <r>
    <d v="2025-07-12T00:00:00"/>
    <x v="1"/>
    <x v="5"/>
    <x v="5"/>
    <n v="7"/>
    <n v="57287"/>
    <n v="401009"/>
    <x v="6"/>
    <s v="Jul-25"/>
  </r>
  <r>
    <d v="2025-07-12T00:00:00"/>
    <x v="0"/>
    <x v="3"/>
    <x v="0"/>
    <n v="9"/>
    <n v="3578"/>
    <n v="32202"/>
    <x v="6"/>
    <s v="Jul-25"/>
  </r>
  <r>
    <d v="2025-07-13T00:00:00"/>
    <x v="2"/>
    <x v="4"/>
    <x v="4"/>
    <n v="8"/>
    <n v="7635"/>
    <n v="61080"/>
    <x v="6"/>
    <s v="Jul-25"/>
  </r>
  <r>
    <d v="2025-07-13T00:00:00"/>
    <x v="1"/>
    <x v="2"/>
    <x v="1"/>
    <n v="2"/>
    <n v="17401"/>
    <n v="34802"/>
    <x v="6"/>
    <s v="Jul-25"/>
  </r>
  <r>
    <d v="2025-07-14T00:00:00"/>
    <x v="0"/>
    <x v="0"/>
    <x v="1"/>
    <n v="4"/>
    <n v="12204"/>
    <n v="48816"/>
    <x v="6"/>
    <s v="Jul-25"/>
  </r>
  <r>
    <d v="2025-07-14T00:00:00"/>
    <x v="1"/>
    <x v="0"/>
    <x v="3"/>
    <n v="2"/>
    <n v="11646"/>
    <n v="23292"/>
    <x v="6"/>
    <s v="Jul-25"/>
  </r>
  <r>
    <d v="2025-07-14T00:00:00"/>
    <x v="3"/>
    <x v="0"/>
    <x v="1"/>
    <n v="3"/>
    <n v="11428"/>
    <n v="34284"/>
    <x v="6"/>
    <s v="Jul-25"/>
  </r>
  <r>
    <d v="2025-07-14T00:00:00"/>
    <x v="2"/>
    <x v="5"/>
    <x v="1"/>
    <n v="2"/>
    <n v="52548"/>
    <n v="105096"/>
    <x v="6"/>
    <s v="Jul-25"/>
  </r>
  <r>
    <d v="2025-07-14T00:00:00"/>
    <x v="2"/>
    <x v="4"/>
    <x v="1"/>
    <n v="10"/>
    <n v="8257"/>
    <n v="82570"/>
    <x v="6"/>
    <s v="Jul-25"/>
  </r>
  <r>
    <d v="2025-07-14T00:00:00"/>
    <x v="2"/>
    <x v="3"/>
    <x v="3"/>
    <n v="8"/>
    <n v="3545"/>
    <n v="28360"/>
    <x v="6"/>
    <s v="Jul-25"/>
  </r>
  <r>
    <d v="2025-07-15T00:00:00"/>
    <x v="2"/>
    <x v="5"/>
    <x v="3"/>
    <n v="2"/>
    <n v="55191"/>
    <n v="110382"/>
    <x v="6"/>
    <s v="Jul-25"/>
  </r>
  <r>
    <d v="2025-07-15T00:00:00"/>
    <x v="0"/>
    <x v="0"/>
    <x v="7"/>
    <n v="2"/>
    <n v="11829"/>
    <n v="23658"/>
    <x v="6"/>
    <s v="Jul-25"/>
  </r>
  <r>
    <d v="2025-07-15T00:00:00"/>
    <x v="0"/>
    <x v="2"/>
    <x v="0"/>
    <n v="10"/>
    <n v="17255"/>
    <n v="172550"/>
    <x v="6"/>
    <s v="Jul-25"/>
  </r>
  <r>
    <d v="2025-07-15T00:00:00"/>
    <x v="3"/>
    <x v="3"/>
    <x v="3"/>
    <n v="1"/>
    <n v="3490"/>
    <n v="3490"/>
    <x v="6"/>
    <s v="Jul-25"/>
  </r>
  <r>
    <d v="2025-07-15T00:00:00"/>
    <x v="1"/>
    <x v="1"/>
    <x v="3"/>
    <n v="9"/>
    <n v="21548"/>
    <n v="193932"/>
    <x v="6"/>
    <s v="Jul-25"/>
  </r>
  <r>
    <d v="2025-07-16T00:00:00"/>
    <x v="2"/>
    <x v="0"/>
    <x v="5"/>
    <n v="1"/>
    <n v="12064"/>
    <n v="12064"/>
    <x v="6"/>
    <s v="Jul-25"/>
  </r>
  <r>
    <d v="2025-07-16T00:00:00"/>
    <x v="1"/>
    <x v="5"/>
    <x v="7"/>
    <n v="1"/>
    <n v="55399"/>
    <n v="55399"/>
    <x v="6"/>
    <s v="Jul-25"/>
  </r>
  <r>
    <d v="2025-07-16T00:00:00"/>
    <x v="3"/>
    <x v="4"/>
    <x v="1"/>
    <n v="5"/>
    <n v="7768"/>
    <n v="38840"/>
    <x v="6"/>
    <s v="Jul-25"/>
  </r>
  <r>
    <d v="2025-07-17T00:00:00"/>
    <x v="1"/>
    <x v="3"/>
    <x v="6"/>
    <n v="3"/>
    <n v="3389"/>
    <n v="10167"/>
    <x v="6"/>
    <s v="Jul-25"/>
  </r>
  <r>
    <d v="2025-07-17T00:00:00"/>
    <x v="2"/>
    <x v="1"/>
    <x v="1"/>
    <n v="3"/>
    <n v="22376"/>
    <n v="67128"/>
    <x v="6"/>
    <s v="Jul-25"/>
  </r>
  <r>
    <d v="2025-07-17T00:00:00"/>
    <x v="0"/>
    <x v="4"/>
    <x v="4"/>
    <n v="9"/>
    <n v="7658"/>
    <n v="68922"/>
    <x v="6"/>
    <s v="Jul-25"/>
  </r>
  <r>
    <d v="2025-07-17T00:00:00"/>
    <x v="0"/>
    <x v="2"/>
    <x v="1"/>
    <n v="4"/>
    <n v="18406"/>
    <n v="73624"/>
    <x v="6"/>
    <s v="Jul-25"/>
  </r>
  <r>
    <d v="2025-07-18T00:00:00"/>
    <x v="2"/>
    <x v="2"/>
    <x v="6"/>
    <n v="4"/>
    <n v="17280"/>
    <n v="69120"/>
    <x v="6"/>
    <s v="Jul-25"/>
  </r>
  <r>
    <d v="2025-07-18T00:00:00"/>
    <x v="0"/>
    <x v="1"/>
    <x v="5"/>
    <n v="8"/>
    <n v="21891"/>
    <n v="175128"/>
    <x v="6"/>
    <s v="Jul-25"/>
  </r>
  <r>
    <d v="2025-07-18T00:00:00"/>
    <x v="2"/>
    <x v="0"/>
    <x v="6"/>
    <n v="10"/>
    <n v="12080"/>
    <n v="120800"/>
    <x v="6"/>
    <s v="Jul-25"/>
  </r>
  <r>
    <d v="2025-07-18T00:00:00"/>
    <x v="2"/>
    <x v="3"/>
    <x v="6"/>
    <n v="1"/>
    <n v="3434"/>
    <n v="3434"/>
    <x v="6"/>
    <s v="Jul-25"/>
  </r>
  <r>
    <d v="2025-07-18T00:00:00"/>
    <x v="1"/>
    <x v="0"/>
    <x v="3"/>
    <n v="5"/>
    <n v="12408"/>
    <n v="62040"/>
    <x v="6"/>
    <s v="Jul-25"/>
  </r>
  <r>
    <d v="2025-07-19T00:00:00"/>
    <x v="2"/>
    <x v="3"/>
    <x v="4"/>
    <n v="8"/>
    <n v="3450"/>
    <n v="27600"/>
    <x v="6"/>
    <s v="Jul-25"/>
  </r>
  <r>
    <d v="2025-07-19T00:00:00"/>
    <x v="2"/>
    <x v="3"/>
    <x v="1"/>
    <n v="3"/>
    <n v="3550"/>
    <n v="10650"/>
    <x v="6"/>
    <s v="Jul-25"/>
  </r>
  <r>
    <d v="2025-07-19T00:00:00"/>
    <x v="0"/>
    <x v="2"/>
    <x v="6"/>
    <n v="9"/>
    <n v="17453"/>
    <n v="157077"/>
    <x v="6"/>
    <s v="Jul-25"/>
  </r>
  <r>
    <d v="2025-07-20T00:00:00"/>
    <x v="0"/>
    <x v="5"/>
    <x v="7"/>
    <n v="10"/>
    <n v="55433"/>
    <n v="554330"/>
    <x v="6"/>
    <s v="Jul-25"/>
  </r>
  <r>
    <d v="2025-07-20T00:00:00"/>
    <x v="1"/>
    <x v="5"/>
    <x v="0"/>
    <n v="9"/>
    <n v="57166"/>
    <n v="514494"/>
    <x v="6"/>
    <s v="Jul-25"/>
  </r>
  <r>
    <d v="2025-07-21T00:00:00"/>
    <x v="3"/>
    <x v="0"/>
    <x v="6"/>
    <n v="6"/>
    <n v="11870"/>
    <n v="71220"/>
    <x v="6"/>
    <s v="Jul-25"/>
  </r>
  <r>
    <d v="2025-07-21T00:00:00"/>
    <x v="2"/>
    <x v="1"/>
    <x v="4"/>
    <n v="9"/>
    <n v="22022"/>
    <n v="198198"/>
    <x v="6"/>
    <s v="Jul-25"/>
  </r>
  <r>
    <d v="2025-07-21T00:00:00"/>
    <x v="3"/>
    <x v="2"/>
    <x v="7"/>
    <n v="4"/>
    <n v="18626"/>
    <n v="74504"/>
    <x v="6"/>
    <s v="Jul-25"/>
  </r>
  <r>
    <d v="2025-07-21T00:00:00"/>
    <x v="1"/>
    <x v="4"/>
    <x v="6"/>
    <n v="8"/>
    <n v="7727"/>
    <n v="61816"/>
    <x v="6"/>
    <s v="Jul-25"/>
  </r>
  <r>
    <d v="2025-07-21T00:00:00"/>
    <x v="1"/>
    <x v="0"/>
    <x v="4"/>
    <n v="6"/>
    <n v="11448"/>
    <n v="68688"/>
    <x v="6"/>
    <s v="Jul-25"/>
  </r>
  <r>
    <d v="2025-07-21T00:00:00"/>
    <x v="3"/>
    <x v="1"/>
    <x v="1"/>
    <n v="5"/>
    <n v="21712"/>
    <n v="108560"/>
    <x v="6"/>
    <s v="Jul-25"/>
  </r>
  <r>
    <d v="2025-07-22T00:00:00"/>
    <x v="1"/>
    <x v="4"/>
    <x v="5"/>
    <n v="7"/>
    <n v="7975"/>
    <n v="55825"/>
    <x v="6"/>
    <s v="Jul-25"/>
  </r>
  <r>
    <d v="2025-07-22T00:00:00"/>
    <x v="3"/>
    <x v="5"/>
    <x v="7"/>
    <n v="6"/>
    <n v="52817"/>
    <n v="316902"/>
    <x v="6"/>
    <s v="Jul-25"/>
  </r>
  <r>
    <d v="2025-07-23T00:00:00"/>
    <x v="2"/>
    <x v="0"/>
    <x v="0"/>
    <n v="10"/>
    <n v="12053"/>
    <n v="120530"/>
    <x v="6"/>
    <s v="Jul-25"/>
  </r>
  <r>
    <d v="2025-07-23T00:00:00"/>
    <x v="1"/>
    <x v="3"/>
    <x v="3"/>
    <n v="6"/>
    <n v="3530"/>
    <n v="21180"/>
    <x v="6"/>
    <s v="Jul-25"/>
  </r>
  <r>
    <d v="2025-07-23T00:00:00"/>
    <x v="0"/>
    <x v="4"/>
    <x v="0"/>
    <n v="7"/>
    <n v="8378"/>
    <n v="58646"/>
    <x v="6"/>
    <s v="Jul-25"/>
  </r>
  <r>
    <d v="2025-07-23T00:00:00"/>
    <x v="1"/>
    <x v="4"/>
    <x v="3"/>
    <n v="6"/>
    <n v="8253"/>
    <n v="49518"/>
    <x v="6"/>
    <s v="Jul-25"/>
  </r>
  <r>
    <d v="2025-07-23T00:00:00"/>
    <x v="2"/>
    <x v="3"/>
    <x v="4"/>
    <n v="10"/>
    <n v="3327"/>
    <n v="33270"/>
    <x v="6"/>
    <s v="Jul-25"/>
  </r>
  <r>
    <d v="2025-07-23T00:00:00"/>
    <x v="1"/>
    <x v="3"/>
    <x v="6"/>
    <n v="4"/>
    <n v="3351"/>
    <n v="13404"/>
    <x v="6"/>
    <s v="Jul-25"/>
  </r>
  <r>
    <d v="2025-07-24T00:00:00"/>
    <x v="1"/>
    <x v="1"/>
    <x v="6"/>
    <n v="3"/>
    <n v="21696"/>
    <n v="65088"/>
    <x v="6"/>
    <s v="Jul-25"/>
  </r>
  <r>
    <d v="2025-07-24T00:00:00"/>
    <x v="0"/>
    <x v="0"/>
    <x v="2"/>
    <n v="7"/>
    <n v="12373"/>
    <n v="86611"/>
    <x v="6"/>
    <s v="Jul-25"/>
  </r>
  <r>
    <d v="2025-07-24T00:00:00"/>
    <x v="0"/>
    <x v="3"/>
    <x v="4"/>
    <n v="8"/>
    <n v="3398"/>
    <n v="27184"/>
    <x v="6"/>
    <s v="Jul-25"/>
  </r>
  <r>
    <d v="2025-07-24T00:00:00"/>
    <x v="1"/>
    <x v="0"/>
    <x v="3"/>
    <n v="1"/>
    <n v="11692"/>
    <n v="11692"/>
    <x v="6"/>
    <s v="Jul-25"/>
  </r>
  <r>
    <d v="2025-07-25T00:00:00"/>
    <x v="1"/>
    <x v="1"/>
    <x v="7"/>
    <n v="10"/>
    <n v="21223"/>
    <n v="212230"/>
    <x v="6"/>
    <s v="Jul-25"/>
  </r>
  <r>
    <d v="2025-07-25T00:00:00"/>
    <x v="1"/>
    <x v="2"/>
    <x v="6"/>
    <n v="9"/>
    <n v="18824"/>
    <n v="169416"/>
    <x v="6"/>
    <s v="Jul-25"/>
  </r>
  <r>
    <d v="2025-07-25T00:00:00"/>
    <x v="0"/>
    <x v="0"/>
    <x v="0"/>
    <n v="2"/>
    <n v="11659"/>
    <n v="23318"/>
    <x v="6"/>
    <s v="Jul-25"/>
  </r>
  <r>
    <d v="2025-07-26T00:00:00"/>
    <x v="3"/>
    <x v="3"/>
    <x v="6"/>
    <n v="4"/>
    <n v="3615"/>
    <n v="14460"/>
    <x v="6"/>
    <s v="Jul-25"/>
  </r>
  <r>
    <d v="2025-07-26T00:00:00"/>
    <x v="1"/>
    <x v="4"/>
    <x v="6"/>
    <n v="10"/>
    <n v="8127"/>
    <n v="81270"/>
    <x v="6"/>
    <s v="Jul-25"/>
  </r>
  <r>
    <d v="2025-07-26T00:00:00"/>
    <x v="2"/>
    <x v="1"/>
    <x v="5"/>
    <n v="8"/>
    <n v="22212"/>
    <n v="177696"/>
    <x v="6"/>
    <s v="Jul-25"/>
  </r>
  <r>
    <d v="2025-07-26T00:00:00"/>
    <x v="0"/>
    <x v="1"/>
    <x v="3"/>
    <n v="7"/>
    <n v="21190"/>
    <n v="148330"/>
    <x v="6"/>
    <s v="Jul-25"/>
  </r>
  <r>
    <d v="2025-07-26T00:00:00"/>
    <x v="0"/>
    <x v="1"/>
    <x v="3"/>
    <n v="3"/>
    <n v="22232"/>
    <n v="66696"/>
    <x v="6"/>
    <s v="Jul-25"/>
  </r>
  <r>
    <d v="2025-07-26T00:00:00"/>
    <x v="1"/>
    <x v="3"/>
    <x v="7"/>
    <n v="9"/>
    <n v="3501"/>
    <n v="31509"/>
    <x v="6"/>
    <s v="Jul-25"/>
  </r>
  <r>
    <d v="2025-07-27T00:00:00"/>
    <x v="0"/>
    <x v="3"/>
    <x v="6"/>
    <n v="10"/>
    <n v="3513"/>
    <n v="35130"/>
    <x v="6"/>
    <s v="Jul-25"/>
  </r>
  <r>
    <d v="2025-07-27T00:00:00"/>
    <x v="0"/>
    <x v="0"/>
    <x v="3"/>
    <n v="9"/>
    <n v="11904"/>
    <n v="107136"/>
    <x v="6"/>
    <s v="Jul-25"/>
  </r>
  <r>
    <d v="2025-07-28T00:00:00"/>
    <x v="3"/>
    <x v="1"/>
    <x v="4"/>
    <n v="7"/>
    <n v="21671"/>
    <n v="151697"/>
    <x v="6"/>
    <s v="Jul-25"/>
  </r>
  <r>
    <d v="2025-07-28T00:00:00"/>
    <x v="0"/>
    <x v="3"/>
    <x v="6"/>
    <n v="5"/>
    <n v="3491"/>
    <n v="17455"/>
    <x v="6"/>
    <s v="Jul-25"/>
  </r>
  <r>
    <d v="2025-07-29T00:00:00"/>
    <x v="0"/>
    <x v="2"/>
    <x v="3"/>
    <n v="5"/>
    <n v="17440"/>
    <n v="87200"/>
    <x v="6"/>
    <s v="Jul-25"/>
  </r>
  <r>
    <d v="2025-07-29T00:00:00"/>
    <x v="0"/>
    <x v="4"/>
    <x v="1"/>
    <n v="9"/>
    <n v="7605"/>
    <n v="68445"/>
    <x v="6"/>
    <s v="Jul-25"/>
  </r>
  <r>
    <d v="2025-07-29T00:00:00"/>
    <x v="1"/>
    <x v="0"/>
    <x v="5"/>
    <n v="7"/>
    <n v="11834"/>
    <n v="82838"/>
    <x v="6"/>
    <s v="Jul-25"/>
  </r>
  <r>
    <d v="2025-07-30T00:00:00"/>
    <x v="3"/>
    <x v="0"/>
    <x v="0"/>
    <n v="5"/>
    <n v="12425"/>
    <n v="62125"/>
    <x v="6"/>
    <s v="Jul-25"/>
  </r>
  <r>
    <d v="2025-07-30T00:00:00"/>
    <x v="3"/>
    <x v="4"/>
    <x v="5"/>
    <n v="10"/>
    <n v="7820"/>
    <n v="78200"/>
    <x v="6"/>
    <s v="Jul-25"/>
  </r>
  <r>
    <d v="2025-07-30T00:00:00"/>
    <x v="3"/>
    <x v="1"/>
    <x v="3"/>
    <n v="9"/>
    <n v="22624"/>
    <n v="203616"/>
    <x v="6"/>
    <s v="Jul-25"/>
  </r>
  <r>
    <d v="2025-07-31T00:00:00"/>
    <x v="1"/>
    <x v="2"/>
    <x v="4"/>
    <n v="5"/>
    <n v="18879"/>
    <n v="94395"/>
    <x v="6"/>
    <s v="Jul-25"/>
  </r>
  <r>
    <d v="2025-07-31T00:00:00"/>
    <x v="2"/>
    <x v="0"/>
    <x v="3"/>
    <n v="3"/>
    <n v="12425"/>
    <n v="37275"/>
    <x v="6"/>
    <s v="Jul-25"/>
  </r>
  <r>
    <d v="2025-07-31T00:00:00"/>
    <x v="0"/>
    <x v="0"/>
    <x v="2"/>
    <n v="8"/>
    <n v="12339"/>
    <n v="98712"/>
    <x v="6"/>
    <s v="Jul-25"/>
  </r>
  <r>
    <d v="2025-07-31T00:00:00"/>
    <x v="1"/>
    <x v="5"/>
    <x v="2"/>
    <n v="9"/>
    <n v="54453"/>
    <n v="490077"/>
    <x v="6"/>
    <s v="Jul-25"/>
  </r>
  <r>
    <d v="2025-07-31T00:00:00"/>
    <x v="2"/>
    <x v="4"/>
    <x v="7"/>
    <n v="3"/>
    <n v="7911"/>
    <n v="23733"/>
    <x v="6"/>
    <s v="Jul-25"/>
  </r>
  <r>
    <d v="2025-08-01T00:00:00"/>
    <x v="0"/>
    <x v="1"/>
    <x v="4"/>
    <n v="10"/>
    <n v="21857"/>
    <n v="218570"/>
    <x v="7"/>
    <s v="Aug-25"/>
  </r>
  <r>
    <d v="2025-08-01T00:00:00"/>
    <x v="0"/>
    <x v="2"/>
    <x v="2"/>
    <n v="6"/>
    <n v="17244"/>
    <n v="103464"/>
    <x v="7"/>
    <s v="Aug-25"/>
  </r>
  <r>
    <d v="2025-08-02T00:00:00"/>
    <x v="3"/>
    <x v="3"/>
    <x v="0"/>
    <n v="10"/>
    <n v="3345"/>
    <n v="33450"/>
    <x v="7"/>
    <s v="Aug-25"/>
  </r>
  <r>
    <d v="2025-08-02T00:00:00"/>
    <x v="1"/>
    <x v="0"/>
    <x v="4"/>
    <n v="8"/>
    <n v="11412"/>
    <n v="91296"/>
    <x v="7"/>
    <s v="Aug-25"/>
  </r>
  <r>
    <d v="2025-08-03T00:00:00"/>
    <x v="2"/>
    <x v="1"/>
    <x v="7"/>
    <n v="10"/>
    <n v="22023"/>
    <n v="220230"/>
    <x v="7"/>
    <s v="Aug-25"/>
  </r>
  <r>
    <d v="2025-08-03T00:00:00"/>
    <x v="1"/>
    <x v="4"/>
    <x v="6"/>
    <n v="1"/>
    <n v="7887"/>
    <n v="7887"/>
    <x v="7"/>
    <s v="Aug-25"/>
  </r>
  <r>
    <d v="2025-08-03T00:00:00"/>
    <x v="0"/>
    <x v="1"/>
    <x v="1"/>
    <n v="5"/>
    <n v="22615"/>
    <n v="113075"/>
    <x v="7"/>
    <s v="Aug-25"/>
  </r>
  <r>
    <d v="2025-08-03T00:00:00"/>
    <x v="2"/>
    <x v="0"/>
    <x v="3"/>
    <n v="7"/>
    <n v="12103"/>
    <n v="84721"/>
    <x v="7"/>
    <s v="Aug-25"/>
  </r>
  <r>
    <d v="2025-08-03T00:00:00"/>
    <x v="0"/>
    <x v="0"/>
    <x v="1"/>
    <n v="2"/>
    <n v="12059"/>
    <n v="24118"/>
    <x v="7"/>
    <s v="Aug-25"/>
  </r>
  <r>
    <d v="2025-08-03T00:00:00"/>
    <x v="2"/>
    <x v="2"/>
    <x v="0"/>
    <n v="4"/>
    <n v="18191"/>
    <n v="72764"/>
    <x v="7"/>
    <s v="Aug-25"/>
  </r>
  <r>
    <d v="2025-08-04T00:00:00"/>
    <x v="3"/>
    <x v="3"/>
    <x v="7"/>
    <n v="5"/>
    <n v="3386"/>
    <n v="16930"/>
    <x v="7"/>
    <s v="Aug-25"/>
  </r>
  <r>
    <d v="2025-08-04T00:00:00"/>
    <x v="0"/>
    <x v="4"/>
    <x v="1"/>
    <n v="9"/>
    <n v="7835"/>
    <n v="70515"/>
    <x v="7"/>
    <s v="Aug-25"/>
  </r>
  <r>
    <d v="2025-08-04T00:00:00"/>
    <x v="0"/>
    <x v="4"/>
    <x v="0"/>
    <n v="9"/>
    <n v="8250"/>
    <n v="74250"/>
    <x v="7"/>
    <s v="Aug-25"/>
  </r>
  <r>
    <d v="2025-08-05T00:00:00"/>
    <x v="2"/>
    <x v="0"/>
    <x v="4"/>
    <n v="7"/>
    <n v="12075"/>
    <n v="84525"/>
    <x v="7"/>
    <s v="Aug-25"/>
  </r>
  <r>
    <d v="2025-08-05T00:00:00"/>
    <x v="1"/>
    <x v="2"/>
    <x v="4"/>
    <n v="8"/>
    <n v="18713"/>
    <n v="149704"/>
    <x v="7"/>
    <s v="Aug-25"/>
  </r>
  <r>
    <d v="2025-08-05T00:00:00"/>
    <x v="0"/>
    <x v="3"/>
    <x v="1"/>
    <n v="5"/>
    <n v="3348"/>
    <n v="16740"/>
    <x v="7"/>
    <s v="Aug-25"/>
  </r>
  <r>
    <d v="2025-08-05T00:00:00"/>
    <x v="1"/>
    <x v="0"/>
    <x v="2"/>
    <n v="6"/>
    <n v="11894"/>
    <n v="71364"/>
    <x v="7"/>
    <s v="Aug-25"/>
  </r>
  <r>
    <d v="2025-08-05T00:00:00"/>
    <x v="2"/>
    <x v="4"/>
    <x v="7"/>
    <n v="5"/>
    <n v="7798"/>
    <n v="38990"/>
    <x v="7"/>
    <s v="Aug-25"/>
  </r>
  <r>
    <d v="2025-08-05T00:00:00"/>
    <x v="0"/>
    <x v="3"/>
    <x v="5"/>
    <n v="2"/>
    <n v="3519"/>
    <n v="7038"/>
    <x v="7"/>
    <s v="Aug-25"/>
  </r>
  <r>
    <d v="2025-08-06T00:00:00"/>
    <x v="3"/>
    <x v="2"/>
    <x v="5"/>
    <n v="4"/>
    <n v="18709"/>
    <n v="74836"/>
    <x v="7"/>
    <s v="Aug-25"/>
  </r>
  <r>
    <d v="2025-08-06T00:00:00"/>
    <x v="2"/>
    <x v="1"/>
    <x v="2"/>
    <n v="8"/>
    <n v="22521"/>
    <n v="180168"/>
    <x v="7"/>
    <s v="Aug-25"/>
  </r>
  <r>
    <d v="2025-08-06T00:00:00"/>
    <x v="1"/>
    <x v="0"/>
    <x v="2"/>
    <n v="5"/>
    <n v="11648"/>
    <n v="58240"/>
    <x v="7"/>
    <s v="Aug-25"/>
  </r>
  <r>
    <d v="2025-08-07T00:00:00"/>
    <x v="1"/>
    <x v="4"/>
    <x v="5"/>
    <n v="3"/>
    <n v="8223"/>
    <n v="24669"/>
    <x v="7"/>
    <s v="Aug-25"/>
  </r>
  <r>
    <d v="2025-08-07T00:00:00"/>
    <x v="0"/>
    <x v="5"/>
    <x v="4"/>
    <n v="10"/>
    <n v="52286"/>
    <n v="522860"/>
    <x v="7"/>
    <s v="Aug-25"/>
  </r>
  <r>
    <d v="2025-08-07T00:00:00"/>
    <x v="0"/>
    <x v="3"/>
    <x v="5"/>
    <n v="10"/>
    <n v="3435"/>
    <n v="34350"/>
    <x v="7"/>
    <s v="Aug-25"/>
  </r>
  <r>
    <d v="2025-08-08T00:00:00"/>
    <x v="2"/>
    <x v="3"/>
    <x v="6"/>
    <n v="9"/>
    <n v="3423"/>
    <n v="30807"/>
    <x v="7"/>
    <s v="Aug-25"/>
  </r>
  <r>
    <d v="2025-08-08T00:00:00"/>
    <x v="1"/>
    <x v="4"/>
    <x v="6"/>
    <n v="1"/>
    <n v="8020"/>
    <n v="8020"/>
    <x v="7"/>
    <s v="Aug-25"/>
  </r>
  <r>
    <d v="2025-08-08T00:00:00"/>
    <x v="3"/>
    <x v="3"/>
    <x v="7"/>
    <n v="9"/>
    <n v="3446"/>
    <n v="31014"/>
    <x v="7"/>
    <s v="Aug-25"/>
  </r>
  <r>
    <d v="2025-08-08T00:00:00"/>
    <x v="1"/>
    <x v="3"/>
    <x v="1"/>
    <n v="9"/>
    <n v="3486"/>
    <n v="31374"/>
    <x v="7"/>
    <s v="Aug-25"/>
  </r>
  <r>
    <d v="2025-08-08T00:00:00"/>
    <x v="0"/>
    <x v="5"/>
    <x v="2"/>
    <n v="7"/>
    <n v="55445"/>
    <n v="388115"/>
    <x v="7"/>
    <s v="Aug-25"/>
  </r>
  <r>
    <d v="2025-08-08T00:00:00"/>
    <x v="2"/>
    <x v="2"/>
    <x v="0"/>
    <n v="3"/>
    <n v="18087"/>
    <n v="54261"/>
    <x v="7"/>
    <s v="Aug-25"/>
  </r>
  <r>
    <d v="2025-08-09T00:00:00"/>
    <x v="2"/>
    <x v="3"/>
    <x v="5"/>
    <n v="6"/>
    <n v="3389"/>
    <n v="20334"/>
    <x v="7"/>
    <s v="Aug-25"/>
  </r>
  <r>
    <d v="2025-08-09T00:00:00"/>
    <x v="3"/>
    <x v="1"/>
    <x v="3"/>
    <n v="6"/>
    <n v="21703"/>
    <n v="130218"/>
    <x v="7"/>
    <s v="Aug-25"/>
  </r>
  <r>
    <d v="2025-08-09T00:00:00"/>
    <x v="3"/>
    <x v="2"/>
    <x v="4"/>
    <n v="3"/>
    <n v="18128"/>
    <n v="54384"/>
    <x v="7"/>
    <s v="Aug-25"/>
  </r>
  <r>
    <d v="2025-08-10T00:00:00"/>
    <x v="1"/>
    <x v="5"/>
    <x v="0"/>
    <n v="4"/>
    <n v="55304"/>
    <n v="221216"/>
    <x v="7"/>
    <s v="Aug-25"/>
  </r>
  <r>
    <d v="2025-08-10T00:00:00"/>
    <x v="3"/>
    <x v="1"/>
    <x v="6"/>
    <n v="3"/>
    <n v="21940"/>
    <n v="65820"/>
    <x v="7"/>
    <s v="Aug-25"/>
  </r>
  <r>
    <d v="2025-08-10T00:00:00"/>
    <x v="0"/>
    <x v="1"/>
    <x v="3"/>
    <n v="8"/>
    <n v="21195"/>
    <n v="169560"/>
    <x v="7"/>
    <s v="Aug-25"/>
  </r>
  <r>
    <d v="2025-08-10T00:00:00"/>
    <x v="2"/>
    <x v="3"/>
    <x v="0"/>
    <n v="5"/>
    <n v="3521"/>
    <n v="17605"/>
    <x v="7"/>
    <s v="Aug-25"/>
  </r>
  <r>
    <d v="2025-08-10T00:00:00"/>
    <x v="0"/>
    <x v="3"/>
    <x v="1"/>
    <n v="3"/>
    <n v="3346"/>
    <n v="10038"/>
    <x v="7"/>
    <s v="Aug-25"/>
  </r>
  <r>
    <d v="2025-08-10T00:00:00"/>
    <x v="2"/>
    <x v="3"/>
    <x v="1"/>
    <n v="8"/>
    <n v="3585"/>
    <n v="28680"/>
    <x v="7"/>
    <s v="Aug-25"/>
  </r>
  <r>
    <d v="2025-08-11T00:00:00"/>
    <x v="2"/>
    <x v="2"/>
    <x v="0"/>
    <n v="6"/>
    <n v="17135"/>
    <n v="102810"/>
    <x v="7"/>
    <s v="Aug-25"/>
  </r>
  <r>
    <d v="2025-08-11T00:00:00"/>
    <x v="0"/>
    <x v="2"/>
    <x v="2"/>
    <n v="10"/>
    <n v="18136"/>
    <n v="181360"/>
    <x v="7"/>
    <s v="Aug-25"/>
  </r>
  <r>
    <d v="2025-08-11T00:00:00"/>
    <x v="1"/>
    <x v="2"/>
    <x v="5"/>
    <n v="6"/>
    <n v="18311"/>
    <n v="109866"/>
    <x v="7"/>
    <s v="Aug-25"/>
  </r>
  <r>
    <d v="2025-08-11T00:00:00"/>
    <x v="3"/>
    <x v="0"/>
    <x v="4"/>
    <n v="2"/>
    <n v="11857"/>
    <n v="23714"/>
    <x v="7"/>
    <s v="Aug-25"/>
  </r>
  <r>
    <d v="2025-08-12T00:00:00"/>
    <x v="3"/>
    <x v="0"/>
    <x v="6"/>
    <n v="3"/>
    <n v="12168"/>
    <n v="36504"/>
    <x v="7"/>
    <s v="Aug-25"/>
  </r>
  <r>
    <d v="2025-08-12T00:00:00"/>
    <x v="2"/>
    <x v="3"/>
    <x v="3"/>
    <n v="2"/>
    <n v="3352"/>
    <n v="6704"/>
    <x v="7"/>
    <s v="Aug-25"/>
  </r>
  <r>
    <d v="2025-08-12T00:00:00"/>
    <x v="2"/>
    <x v="1"/>
    <x v="5"/>
    <n v="6"/>
    <n v="22336"/>
    <n v="134016"/>
    <x v="7"/>
    <s v="Aug-25"/>
  </r>
  <r>
    <d v="2025-08-12T00:00:00"/>
    <x v="2"/>
    <x v="4"/>
    <x v="3"/>
    <n v="5"/>
    <n v="8310"/>
    <n v="41550"/>
    <x v="7"/>
    <s v="Aug-25"/>
  </r>
  <r>
    <d v="2025-08-13T00:00:00"/>
    <x v="3"/>
    <x v="3"/>
    <x v="6"/>
    <n v="3"/>
    <n v="3623"/>
    <n v="10869"/>
    <x v="7"/>
    <s v="Aug-25"/>
  </r>
  <r>
    <d v="2025-08-13T00:00:00"/>
    <x v="1"/>
    <x v="0"/>
    <x v="2"/>
    <n v="5"/>
    <n v="12528"/>
    <n v="62640"/>
    <x v="7"/>
    <s v="Aug-25"/>
  </r>
  <r>
    <d v="2025-08-13T00:00:00"/>
    <x v="0"/>
    <x v="1"/>
    <x v="6"/>
    <n v="7"/>
    <n v="21126"/>
    <n v="147882"/>
    <x v="7"/>
    <s v="Aug-25"/>
  </r>
  <r>
    <d v="2025-08-13T00:00:00"/>
    <x v="0"/>
    <x v="3"/>
    <x v="7"/>
    <n v="1"/>
    <n v="3594"/>
    <n v="3594"/>
    <x v="7"/>
    <s v="Aug-25"/>
  </r>
  <r>
    <d v="2025-08-14T00:00:00"/>
    <x v="0"/>
    <x v="5"/>
    <x v="0"/>
    <n v="10"/>
    <n v="53104"/>
    <n v="531040"/>
    <x v="7"/>
    <s v="Aug-25"/>
  </r>
  <r>
    <d v="2025-08-14T00:00:00"/>
    <x v="3"/>
    <x v="2"/>
    <x v="2"/>
    <n v="4"/>
    <n v="18427"/>
    <n v="73708"/>
    <x v="7"/>
    <s v="Aug-25"/>
  </r>
  <r>
    <d v="2025-08-14T00:00:00"/>
    <x v="3"/>
    <x v="0"/>
    <x v="6"/>
    <n v="3"/>
    <n v="12032"/>
    <n v="36096"/>
    <x v="7"/>
    <s v="Aug-25"/>
  </r>
  <r>
    <d v="2025-08-14T00:00:00"/>
    <x v="1"/>
    <x v="5"/>
    <x v="7"/>
    <n v="6"/>
    <n v="56982"/>
    <n v="341892"/>
    <x v="7"/>
    <s v="Aug-25"/>
  </r>
  <r>
    <d v="2025-08-14T00:00:00"/>
    <x v="2"/>
    <x v="3"/>
    <x v="4"/>
    <n v="9"/>
    <n v="3652"/>
    <n v="32868"/>
    <x v="7"/>
    <s v="Aug-25"/>
  </r>
  <r>
    <d v="2025-08-14T00:00:00"/>
    <x v="3"/>
    <x v="1"/>
    <x v="6"/>
    <n v="10"/>
    <n v="22214"/>
    <n v="222140"/>
    <x v="7"/>
    <s v="Aug-25"/>
  </r>
  <r>
    <d v="2025-08-15T00:00:00"/>
    <x v="3"/>
    <x v="4"/>
    <x v="0"/>
    <n v="6"/>
    <n v="7985"/>
    <n v="47910"/>
    <x v="7"/>
    <s v="Aug-25"/>
  </r>
  <r>
    <d v="2025-08-15T00:00:00"/>
    <x v="1"/>
    <x v="5"/>
    <x v="4"/>
    <n v="5"/>
    <n v="54261"/>
    <n v="271305"/>
    <x v="7"/>
    <s v="Aug-25"/>
  </r>
  <r>
    <d v="2025-08-15T00:00:00"/>
    <x v="2"/>
    <x v="1"/>
    <x v="0"/>
    <n v="1"/>
    <n v="20900"/>
    <n v="20900"/>
    <x v="7"/>
    <s v="Aug-25"/>
  </r>
  <r>
    <d v="2025-08-15T00:00:00"/>
    <x v="1"/>
    <x v="2"/>
    <x v="0"/>
    <n v="8"/>
    <n v="18063"/>
    <n v="144504"/>
    <x v="7"/>
    <s v="Aug-25"/>
  </r>
  <r>
    <d v="2025-08-15T00:00:00"/>
    <x v="3"/>
    <x v="3"/>
    <x v="0"/>
    <n v="1"/>
    <n v="3593"/>
    <n v="3593"/>
    <x v="7"/>
    <s v="Aug-25"/>
  </r>
  <r>
    <d v="2025-08-15T00:00:00"/>
    <x v="2"/>
    <x v="4"/>
    <x v="2"/>
    <n v="1"/>
    <n v="8038"/>
    <n v="8038"/>
    <x v="7"/>
    <s v="Aug-25"/>
  </r>
  <r>
    <d v="2025-08-16T00:00:00"/>
    <x v="3"/>
    <x v="4"/>
    <x v="3"/>
    <n v="7"/>
    <n v="7799"/>
    <n v="54593"/>
    <x v="7"/>
    <s v="Aug-25"/>
  </r>
  <r>
    <d v="2025-08-16T00:00:00"/>
    <x v="3"/>
    <x v="3"/>
    <x v="2"/>
    <n v="5"/>
    <n v="3352"/>
    <n v="16760"/>
    <x v="7"/>
    <s v="Aug-25"/>
  </r>
  <r>
    <d v="2025-08-16T00:00:00"/>
    <x v="1"/>
    <x v="4"/>
    <x v="0"/>
    <n v="5"/>
    <n v="8118"/>
    <n v="40590"/>
    <x v="7"/>
    <s v="Aug-25"/>
  </r>
  <r>
    <d v="2025-08-17T00:00:00"/>
    <x v="2"/>
    <x v="3"/>
    <x v="2"/>
    <n v="2"/>
    <n v="3388"/>
    <n v="6776"/>
    <x v="7"/>
    <s v="Aug-25"/>
  </r>
  <r>
    <d v="2025-08-17T00:00:00"/>
    <x v="2"/>
    <x v="5"/>
    <x v="4"/>
    <n v="10"/>
    <n v="54740"/>
    <n v="547400"/>
    <x v="7"/>
    <s v="Aug-25"/>
  </r>
  <r>
    <d v="2025-08-17T00:00:00"/>
    <x v="3"/>
    <x v="1"/>
    <x v="5"/>
    <n v="1"/>
    <n v="21234"/>
    <n v="21234"/>
    <x v="7"/>
    <s v="Aug-25"/>
  </r>
  <r>
    <d v="2025-08-17T00:00:00"/>
    <x v="0"/>
    <x v="1"/>
    <x v="1"/>
    <n v="5"/>
    <n v="21492"/>
    <n v="107460"/>
    <x v="7"/>
    <s v="Aug-25"/>
  </r>
  <r>
    <d v="2025-08-17T00:00:00"/>
    <x v="3"/>
    <x v="0"/>
    <x v="7"/>
    <n v="4"/>
    <n v="11508"/>
    <n v="46032"/>
    <x v="7"/>
    <s v="Aug-25"/>
  </r>
  <r>
    <d v="2025-08-17T00:00:00"/>
    <x v="0"/>
    <x v="3"/>
    <x v="2"/>
    <n v="6"/>
    <n v="3472"/>
    <n v="20832"/>
    <x v="7"/>
    <s v="Aug-25"/>
  </r>
  <r>
    <d v="2025-08-18T00:00:00"/>
    <x v="2"/>
    <x v="3"/>
    <x v="7"/>
    <n v="6"/>
    <n v="3353"/>
    <n v="20118"/>
    <x v="7"/>
    <s v="Aug-25"/>
  </r>
  <r>
    <d v="2025-08-18T00:00:00"/>
    <x v="1"/>
    <x v="5"/>
    <x v="0"/>
    <n v="7"/>
    <n v="52642"/>
    <n v="368494"/>
    <x v="7"/>
    <s v="Aug-25"/>
  </r>
  <r>
    <d v="2025-08-18T00:00:00"/>
    <x v="3"/>
    <x v="1"/>
    <x v="2"/>
    <n v="5"/>
    <n v="22697"/>
    <n v="113485"/>
    <x v="7"/>
    <s v="Aug-25"/>
  </r>
  <r>
    <d v="2025-08-18T00:00:00"/>
    <x v="0"/>
    <x v="5"/>
    <x v="2"/>
    <n v="7"/>
    <n v="56491"/>
    <n v="395437"/>
    <x v="7"/>
    <s v="Aug-25"/>
  </r>
  <r>
    <d v="2025-08-18T00:00:00"/>
    <x v="3"/>
    <x v="1"/>
    <x v="7"/>
    <n v="4"/>
    <n v="21913"/>
    <n v="87652"/>
    <x v="7"/>
    <s v="Aug-25"/>
  </r>
  <r>
    <d v="2025-08-19T00:00:00"/>
    <x v="1"/>
    <x v="3"/>
    <x v="3"/>
    <n v="5"/>
    <n v="3652"/>
    <n v="18260"/>
    <x v="7"/>
    <s v="Aug-25"/>
  </r>
  <r>
    <d v="2025-08-19T00:00:00"/>
    <x v="1"/>
    <x v="0"/>
    <x v="7"/>
    <n v="9"/>
    <n v="12025"/>
    <n v="108225"/>
    <x v="7"/>
    <s v="Aug-25"/>
  </r>
  <r>
    <d v="2025-08-20T00:00:00"/>
    <x v="3"/>
    <x v="0"/>
    <x v="0"/>
    <n v="4"/>
    <n v="11832"/>
    <n v="47328"/>
    <x v="7"/>
    <s v="Aug-25"/>
  </r>
  <r>
    <d v="2025-08-20T00:00:00"/>
    <x v="0"/>
    <x v="0"/>
    <x v="2"/>
    <n v="2"/>
    <n v="11683"/>
    <n v="23366"/>
    <x v="7"/>
    <s v="Aug-25"/>
  </r>
  <r>
    <d v="2025-08-20T00:00:00"/>
    <x v="3"/>
    <x v="2"/>
    <x v="7"/>
    <n v="3"/>
    <n v="18529"/>
    <n v="55587"/>
    <x v="7"/>
    <s v="Aug-25"/>
  </r>
  <r>
    <d v="2025-08-20T00:00:00"/>
    <x v="0"/>
    <x v="3"/>
    <x v="2"/>
    <n v="1"/>
    <n v="3664"/>
    <n v="3664"/>
    <x v="7"/>
    <s v="Aug-25"/>
  </r>
  <r>
    <d v="2025-08-21T00:00:00"/>
    <x v="3"/>
    <x v="0"/>
    <x v="6"/>
    <n v="6"/>
    <n v="12324"/>
    <n v="73944"/>
    <x v="7"/>
    <s v="Aug-25"/>
  </r>
  <r>
    <d v="2025-08-21T00:00:00"/>
    <x v="1"/>
    <x v="1"/>
    <x v="4"/>
    <n v="2"/>
    <n v="22409"/>
    <n v="44818"/>
    <x v="7"/>
    <s v="Aug-25"/>
  </r>
  <r>
    <d v="2025-08-21T00:00:00"/>
    <x v="2"/>
    <x v="0"/>
    <x v="7"/>
    <n v="1"/>
    <n v="11826"/>
    <n v="11826"/>
    <x v="7"/>
    <s v="Aug-25"/>
  </r>
  <r>
    <d v="2025-08-21T00:00:00"/>
    <x v="1"/>
    <x v="0"/>
    <x v="1"/>
    <n v="3"/>
    <n v="11985"/>
    <n v="35955"/>
    <x v="7"/>
    <s v="Aug-25"/>
  </r>
  <r>
    <d v="2025-08-21T00:00:00"/>
    <x v="2"/>
    <x v="4"/>
    <x v="5"/>
    <n v="8"/>
    <n v="8186"/>
    <n v="65488"/>
    <x v="7"/>
    <s v="Aug-25"/>
  </r>
  <r>
    <d v="2025-08-21T00:00:00"/>
    <x v="0"/>
    <x v="0"/>
    <x v="3"/>
    <n v="6"/>
    <n v="12269"/>
    <n v="73614"/>
    <x v="7"/>
    <s v="Aug-25"/>
  </r>
  <r>
    <d v="2025-08-22T00:00:00"/>
    <x v="0"/>
    <x v="3"/>
    <x v="4"/>
    <n v="9"/>
    <n v="3428"/>
    <n v="30852"/>
    <x v="7"/>
    <s v="Aug-25"/>
  </r>
  <r>
    <d v="2025-08-22T00:00:00"/>
    <x v="3"/>
    <x v="1"/>
    <x v="6"/>
    <n v="9"/>
    <n v="21664"/>
    <n v="194976"/>
    <x v="7"/>
    <s v="Aug-25"/>
  </r>
  <r>
    <d v="2025-08-22T00:00:00"/>
    <x v="3"/>
    <x v="2"/>
    <x v="6"/>
    <n v="2"/>
    <n v="18056"/>
    <n v="36112"/>
    <x v="7"/>
    <s v="Aug-25"/>
  </r>
  <r>
    <d v="2025-08-22T00:00:00"/>
    <x v="3"/>
    <x v="2"/>
    <x v="0"/>
    <n v="9"/>
    <n v="17760"/>
    <n v="159840"/>
    <x v="7"/>
    <s v="Aug-25"/>
  </r>
  <r>
    <d v="2025-08-23T00:00:00"/>
    <x v="3"/>
    <x v="0"/>
    <x v="6"/>
    <n v="1"/>
    <n v="12143"/>
    <n v="12143"/>
    <x v="7"/>
    <s v="Aug-25"/>
  </r>
  <r>
    <d v="2025-08-23T00:00:00"/>
    <x v="2"/>
    <x v="4"/>
    <x v="2"/>
    <n v="6"/>
    <n v="8176"/>
    <n v="49056"/>
    <x v="7"/>
    <s v="Aug-25"/>
  </r>
  <r>
    <d v="2025-08-24T00:00:00"/>
    <x v="3"/>
    <x v="1"/>
    <x v="4"/>
    <n v="9"/>
    <n v="21239"/>
    <n v="191151"/>
    <x v="7"/>
    <s v="Aug-25"/>
  </r>
  <r>
    <d v="2025-08-24T00:00:00"/>
    <x v="2"/>
    <x v="2"/>
    <x v="3"/>
    <n v="6"/>
    <n v="17298"/>
    <n v="103788"/>
    <x v="7"/>
    <s v="Aug-25"/>
  </r>
  <r>
    <d v="2025-08-24T00:00:00"/>
    <x v="0"/>
    <x v="5"/>
    <x v="6"/>
    <n v="3"/>
    <n v="57054"/>
    <n v="171162"/>
    <x v="7"/>
    <s v="Aug-25"/>
  </r>
  <r>
    <d v="2025-08-24T00:00:00"/>
    <x v="1"/>
    <x v="5"/>
    <x v="4"/>
    <n v="4"/>
    <n v="52793"/>
    <n v="211172"/>
    <x v="7"/>
    <s v="Aug-25"/>
  </r>
  <r>
    <d v="2025-08-24T00:00:00"/>
    <x v="3"/>
    <x v="0"/>
    <x v="4"/>
    <n v="9"/>
    <n v="12148"/>
    <n v="109332"/>
    <x v="7"/>
    <s v="Aug-25"/>
  </r>
  <r>
    <d v="2025-08-24T00:00:00"/>
    <x v="2"/>
    <x v="5"/>
    <x v="5"/>
    <n v="4"/>
    <n v="55582"/>
    <n v="222328"/>
    <x v="7"/>
    <s v="Aug-25"/>
  </r>
  <r>
    <d v="2025-08-25T00:00:00"/>
    <x v="0"/>
    <x v="1"/>
    <x v="4"/>
    <n v="2"/>
    <n v="21929"/>
    <n v="43858"/>
    <x v="7"/>
    <s v="Aug-25"/>
  </r>
  <r>
    <d v="2025-08-25T00:00:00"/>
    <x v="0"/>
    <x v="2"/>
    <x v="3"/>
    <n v="6"/>
    <n v="18529"/>
    <n v="111174"/>
    <x v="7"/>
    <s v="Aug-25"/>
  </r>
  <r>
    <d v="2025-08-26T00:00:00"/>
    <x v="2"/>
    <x v="4"/>
    <x v="7"/>
    <n v="2"/>
    <n v="8267"/>
    <n v="16534"/>
    <x v="7"/>
    <s v="Aug-25"/>
  </r>
  <r>
    <d v="2025-08-26T00:00:00"/>
    <x v="0"/>
    <x v="1"/>
    <x v="1"/>
    <n v="2"/>
    <n v="22495"/>
    <n v="44990"/>
    <x v="7"/>
    <s v="Aug-25"/>
  </r>
  <r>
    <d v="2025-08-27T00:00:00"/>
    <x v="3"/>
    <x v="1"/>
    <x v="2"/>
    <n v="9"/>
    <n v="22345"/>
    <n v="201105"/>
    <x v="7"/>
    <s v="Aug-25"/>
  </r>
  <r>
    <d v="2025-08-27T00:00:00"/>
    <x v="1"/>
    <x v="4"/>
    <x v="3"/>
    <n v="2"/>
    <n v="8213"/>
    <n v="16426"/>
    <x v="7"/>
    <s v="Aug-25"/>
  </r>
  <r>
    <d v="2025-08-27T00:00:00"/>
    <x v="2"/>
    <x v="0"/>
    <x v="4"/>
    <n v="7"/>
    <n v="12459"/>
    <n v="87213"/>
    <x v="7"/>
    <s v="Aug-25"/>
  </r>
  <r>
    <d v="2025-08-27T00:00:00"/>
    <x v="1"/>
    <x v="1"/>
    <x v="3"/>
    <n v="9"/>
    <n v="21642"/>
    <n v="194778"/>
    <x v="7"/>
    <s v="Aug-25"/>
  </r>
  <r>
    <d v="2025-08-27T00:00:00"/>
    <x v="1"/>
    <x v="4"/>
    <x v="4"/>
    <n v="6"/>
    <n v="8321"/>
    <n v="49926"/>
    <x v="7"/>
    <s v="Aug-25"/>
  </r>
  <r>
    <d v="2025-08-27T00:00:00"/>
    <x v="2"/>
    <x v="2"/>
    <x v="3"/>
    <n v="7"/>
    <n v="18587"/>
    <n v="130109"/>
    <x v="7"/>
    <s v="Aug-25"/>
  </r>
  <r>
    <d v="2025-08-28T00:00:00"/>
    <x v="1"/>
    <x v="4"/>
    <x v="2"/>
    <n v="7"/>
    <n v="8212"/>
    <n v="57484"/>
    <x v="7"/>
    <s v="Aug-25"/>
  </r>
  <r>
    <d v="2025-08-28T00:00:00"/>
    <x v="2"/>
    <x v="2"/>
    <x v="4"/>
    <n v="8"/>
    <n v="18827"/>
    <n v="150616"/>
    <x v="7"/>
    <s v="Aug-25"/>
  </r>
  <r>
    <d v="2025-08-28T00:00:00"/>
    <x v="0"/>
    <x v="0"/>
    <x v="7"/>
    <n v="5"/>
    <n v="12114"/>
    <n v="60570"/>
    <x v="7"/>
    <s v="Aug-25"/>
  </r>
  <r>
    <d v="2025-08-28T00:00:00"/>
    <x v="1"/>
    <x v="2"/>
    <x v="7"/>
    <n v="5"/>
    <n v="18871"/>
    <n v="94355"/>
    <x v="7"/>
    <s v="Aug-25"/>
  </r>
  <r>
    <d v="2025-08-29T00:00:00"/>
    <x v="2"/>
    <x v="5"/>
    <x v="0"/>
    <n v="9"/>
    <n v="55061"/>
    <n v="495549"/>
    <x v="7"/>
    <s v="Aug-25"/>
  </r>
  <r>
    <d v="2025-08-29T00:00:00"/>
    <x v="1"/>
    <x v="5"/>
    <x v="7"/>
    <n v="8"/>
    <n v="54206"/>
    <n v="433648"/>
    <x v="7"/>
    <s v="Aug-25"/>
  </r>
  <r>
    <d v="2025-08-29T00:00:00"/>
    <x v="1"/>
    <x v="2"/>
    <x v="5"/>
    <n v="10"/>
    <n v="17549"/>
    <n v="175490"/>
    <x v="7"/>
    <s v="Aug-25"/>
  </r>
  <r>
    <d v="2025-08-30T00:00:00"/>
    <x v="2"/>
    <x v="5"/>
    <x v="3"/>
    <n v="10"/>
    <n v="57298"/>
    <n v="572980"/>
    <x v="7"/>
    <s v="Aug-25"/>
  </r>
  <r>
    <d v="2025-08-30T00:00:00"/>
    <x v="0"/>
    <x v="0"/>
    <x v="5"/>
    <n v="8"/>
    <n v="11607"/>
    <n v="92856"/>
    <x v="7"/>
    <s v="Aug-25"/>
  </r>
  <r>
    <d v="2025-08-30T00:00:00"/>
    <x v="0"/>
    <x v="4"/>
    <x v="0"/>
    <n v="1"/>
    <n v="8184"/>
    <n v="8184"/>
    <x v="7"/>
    <s v="Aug-25"/>
  </r>
  <r>
    <d v="2025-08-30T00:00:00"/>
    <x v="3"/>
    <x v="5"/>
    <x v="7"/>
    <n v="6"/>
    <n v="54163"/>
    <n v="324978"/>
    <x v="7"/>
    <s v="Aug-25"/>
  </r>
  <r>
    <d v="2025-08-31T00:00:00"/>
    <x v="3"/>
    <x v="5"/>
    <x v="2"/>
    <n v="10"/>
    <n v="57357"/>
    <n v="573570"/>
    <x v="7"/>
    <s v="Aug-25"/>
  </r>
  <r>
    <d v="2025-08-31T00:00:00"/>
    <x v="3"/>
    <x v="5"/>
    <x v="0"/>
    <n v="9"/>
    <n v="52476"/>
    <n v="472284"/>
    <x v="7"/>
    <s v="Aug-25"/>
  </r>
  <r>
    <d v="2025-08-31T00:00:00"/>
    <x v="1"/>
    <x v="2"/>
    <x v="2"/>
    <n v="3"/>
    <n v="17190"/>
    <n v="51570"/>
    <x v="7"/>
    <s v="Aug-25"/>
  </r>
  <r>
    <d v="2025-08-31T00:00:00"/>
    <x v="3"/>
    <x v="3"/>
    <x v="1"/>
    <n v="4"/>
    <n v="3476"/>
    <n v="13904"/>
    <x v="7"/>
    <s v="Aug-25"/>
  </r>
  <r>
    <d v="2025-08-31T00:00:00"/>
    <x v="3"/>
    <x v="1"/>
    <x v="6"/>
    <n v="6"/>
    <n v="21081"/>
    <n v="126486"/>
    <x v="7"/>
    <s v="Aug-25"/>
  </r>
  <r>
    <d v="2025-09-01T00:00:00"/>
    <x v="0"/>
    <x v="4"/>
    <x v="3"/>
    <n v="5"/>
    <n v="7668"/>
    <n v="38340"/>
    <x v="8"/>
    <s v="Sep-25"/>
  </r>
  <r>
    <d v="2025-09-01T00:00:00"/>
    <x v="3"/>
    <x v="0"/>
    <x v="6"/>
    <n v="3"/>
    <n v="11977"/>
    <n v="35931"/>
    <x v="8"/>
    <s v="Sep-25"/>
  </r>
  <r>
    <d v="2025-09-01T00:00:00"/>
    <x v="1"/>
    <x v="3"/>
    <x v="3"/>
    <n v="10"/>
    <n v="3393"/>
    <n v="33930"/>
    <x v="8"/>
    <s v="Sep-25"/>
  </r>
  <r>
    <d v="2025-09-01T00:00:00"/>
    <x v="1"/>
    <x v="1"/>
    <x v="1"/>
    <n v="5"/>
    <n v="22608"/>
    <n v="113040"/>
    <x v="8"/>
    <s v="Sep-25"/>
  </r>
  <r>
    <d v="2025-09-01T00:00:00"/>
    <x v="2"/>
    <x v="0"/>
    <x v="1"/>
    <n v="2"/>
    <n v="12206"/>
    <n v="24412"/>
    <x v="8"/>
    <s v="Sep-25"/>
  </r>
  <r>
    <d v="2025-09-01T00:00:00"/>
    <x v="3"/>
    <x v="2"/>
    <x v="5"/>
    <n v="4"/>
    <n v="17677"/>
    <n v="70708"/>
    <x v="8"/>
    <s v="Sep-25"/>
  </r>
  <r>
    <d v="2025-09-02T00:00:00"/>
    <x v="0"/>
    <x v="2"/>
    <x v="6"/>
    <n v="6"/>
    <n v="18209"/>
    <n v="109254"/>
    <x v="8"/>
    <s v="Sep-25"/>
  </r>
  <r>
    <d v="2025-09-02T00:00:00"/>
    <x v="3"/>
    <x v="4"/>
    <x v="6"/>
    <n v="8"/>
    <n v="7635"/>
    <n v="61080"/>
    <x v="8"/>
    <s v="Sep-25"/>
  </r>
  <r>
    <d v="2025-09-02T00:00:00"/>
    <x v="1"/>
    <x v="1"/>
    <x v="5"/>
    <n v="3"/>
    <n v="22567"/>
    <n v="67701"/>
    <x v="8"/>
    <s v="Sep-25"/>
  </r>
  <r>
    <d v="2025-09-02T00:00:00"/>
    <x v="0"/>
    <x v="5"/>
    <x v="7"/>
    <n v="4"/>
    <n v="57469"/>
    <n v="229876"/>
    <x v="8"/>
    <s v="Sep-25"/>
  </r>
  <r>
    <d v="2025-09-02T00:00:00"/>
    <x v="1"/>
    <x v="2"/>
    <x v="7"/>
    <n v="6"/>
    <n v="18348"/>
    <n v="110088"/>
    <x v="8"/>
    <s v="Sep-25"/>
  </r>
  <r>
    <d v="2025-09-02T00:00:00"/>
    <x v="0"/>
    <x v="2"/>
    <x v="4"/>
    <n v="8"/>
    <n v="17140"/>
    <n v="137120"/>
    <x v="8"/>
    <s v="Sep-25"/>
  </r>
  <r>
    <d v="2025-09-03T00:00:00"/>
    <x v="1"/>
    <x v="1"/>
    <x v="0"/>
    <n v="9"/>
    <n v="21962"/>
    <n v="197658"/>
    <x v="8"/>
    <s v="Sep-25"/>
  </r>
  <r>
    <d v="2025-09-03T00:00:00"/>
    <x v="1"/>
    <x v="0"/>
    <x v="7"/>
    <n v="7"/>
    <n v="12099"/>
    <n v="84693"/>
    <x v="8"/>
    <s v="Sep-25"/>
  </r>
  <r>
    <d v="2025-09-03T00:00:00"/>
    <x v="0"/>
    <x v="2"/>
    <x v="6"/>
    <n v="1"/>
    <n v="17611"/>
    <n v="17611"/>
    <x v="8"/>
    <s v="Sep-25"/>
  </r>
  <r>
    <d v="2025-09-04T00:00:00"/>
    <x v="2"/>
    <x v="5"/>
    <x v="4"/>
    <n v="1"/>
    <n v="52616"/>
    <n v="52616"/>
    <x v="8"/>
    <s v="Sep-25"/>
  </r>
  <r>
    <d v="2025-09-04T00:00:00"/>
    <x v="2"/>
    <x v="0"/>
    <x v="5"/>
    <n v="2"/>
    <n v="11422"/>
    <n v="22844"/>
    <x v="8"/>
    <s v="Sep-25"/>
  </r>
  <r>
    <d v="2025-09-04T00:00:00"/>
    <x v="3"/>
    <x v="1"/>
    <x v="3"/>
    <n v="9"/>
    <n v="23048"/>
    <n v="207432"/>
    <x v="8"/>
    <s v="Sep-25"/>
  </r>
  <r>
    <d v="2025-09-04T00:00:00"/>
    <x v="0"/>
    <x v="2"/>
    <x v="4"/>
    <n v="10"/>
    <n v="18056"/>
    <n v="180560"/>
    <x v="8"/>
    <s v="Sep-25"/>
  </r>
  <r>
    <d v="2025-09-04T00:00:00"/>
    <x v="1"/>
    <x v="1"/>
    <x v="4"/>
    <n v="9"/>
    <n v="22937"/>
    <n v="206433"/>
    <x v="8"/>
    <s v="Sep-25"/>
  </r>
  <r>
    <d v="2025-09-04T00:00:00"/>
    <x v="0"/>
    <x v="5"/>
    <x v="2"/>
    <n v="9"/>
    <n v="53927"/>
    <n v="485343"/>
    <x v="8"/>
    <s v="Sep-25"/>
  </r>
  <r>
    <d v="2025-09-05T00:00:00"/>
    <x v="3"/>
    <x v="0"/>
    <x v="6"/>
    <n v="1"/>
    <n v="11816"/>
    <n v="11816"/>
    <x v="8"/>
    <s v="Sep-25"/>
  </r>
  <r>
    <d v="2025-09-05T00:00:00"/>
    <x v="2"/>
    <x v="2"/>
    <x v="0"/>
    <n v="4"/>
    <n v="18892"/>
    <n v="75568"/>
    <x v="8"/>
    <s v="Sep-25"/>
  </r>
  <r>
    <d v="2025-09-05T00:00:00"/>
    <x v="2"/>
    <x v="5"/>
    <x v="0"/>
    <n v="7"/>
    <n v="57147"/>
    <n v="400029"/>
    <x v="8"/>
    <s v="Sep-25"/>
  </r>
  <r>
    <d v="2025-09-05T00:00:00"/>
    <x v="0"/>
    <x v="4"/>
    <x v="0"/>
    <n v="4"/>
    <n v="7721"/>
    <n v="30884"/>
    <x v="8"/>
    <s v="Sep-25"/>
  </r>
  <r>
    <d v="2025-09-05T00:00:00"/>
    <x v="3"/>
    <x v="0"/>
    <x v="6"/>
    <n v="2"/>
    <n v="12275"/>
    <n v="24550"/>
    <x v="8"/>
    <s v="Sep-25"/>
  </r>
  <r>
    <d v="2025-09-06T00:00:00"/>
    <x v="1"/>
    <x v="3"/>
    <x v="2"/>
    <n v="10"/>
    <n v="3378"/>
    <n v="33780"/>
    <x v="8"/>
    <s v="Sep-25"/>
  </r>
  <r>
    <d v="2025-09-06T00:00:00"/>
    <x v="2"/>
    <x v="4"/>
    <x v="5"/>
    <n v="8"/>
    <n v="8033"/>
    <n v="64264"/>
    <x v="8"/>
    <s v="Sep-25"/>
  </r>
  <r>
    <d v="2025-09-06T00:00:00"/>
    <x v="1"/>
    <x v="0"/>
    <x v="6"/>
    <n v="10"/>
    <n v="12049"/>
    <n v="120490"/>
    <x v="8"/>
    <s v="Sep-25"/>
  </r>
  <r>
    <d v="2025-09-06T00:00:00"/>
    <x v="1"/>
    <x v="1"/>
    <x v="0"/>
    <n v="9"/>
    <n v="22901"/>
    <n v="206109"/>
    <x v="8"/>
    <s v="Sep-25"/>
  </r>
  <r>
    <d v="2025-09-06T00:00:00"/>
    <x v="3"/>
    <x v="1"/>
    <x v="6"/>
    <n v="6"/>
    <n v="21049"/>
    <n v="126294"/>
    <x v="8"/>
    <s v="Sep-25"/>
  </r>
  <r>
    <d v="2025-09-06T00:00:00"/>
    <x v="0"/>
    <x v="1"/>
    <x v="5"/>
    <n v="3"/>
    <n v="22499"/>
    <n v="67497"/>
    <x v="8"/>
    <s v="Sep-25"/>
  </r>
  <r>
    <d v="2025-09-07T00:00:00"/>
    <x v="3"/>
    <x v="3"/>
    <x v="0"/>
    <n v="8"/>
    <n v="3585"/>
    <n v="28680"/>
    <x v="8"/>
    <s v="Sep-25"/>
  </r>
  <r>
    <d v="2025-09-07T00:00:00"/>
    <x v="2"/>
    <x v="1"/>
    <x v="2"/>
    <n v="2"/>
    <n v="21189"/>
    <n v="42378"/>
    <x v="8"/>
    <s v="Sep-25"/>
  </r>
  <r>
    <d v="2025-09-07T00:00:00"/>
    <x v="0"/>
    <x v="4"/>
    <x v="0"/>
    <n v="10"/>
    <n v="8053"/>
    <n v="80530"/>
    <x v="8"/>
    <s v="Sep-25"/>
  </r>
  <r>
    <d v="2025-09-07T00:00:00"/>
    <x v="1"/>
    <x v="4"/>
    <x v="2"/>
    <n v="4"/>
    <n v="8149"/>
    <n v="32596"/>
    <x v="8"/>
    <s v="Sep-25"/>
  </r>
  <r>
    <d v="2025-09-08T00:00:00"/>
    <x v="0"/>
    <x v="0"/>
    <x v="4"/>
    <n v="3"/>
    <n v="12002"/>
    <n v="36006"/>
    <x v="8"/>
    <s v="Sep-25"/>
  </r>
  <r>
    <d v="2025-09-08T00:00:00"/>
    <x v="3"/>
    <x v="0"/>
    <x v="5"/>
    <n v="3"/>
    <n v="12422"/>
    <n v="37266"/>
    <x v="8"/>
    <s v="Sep-25"/>
  </r>
  <r>
    <d v="2025-09-08T00:00:00"/>
    <x v="3"/>
    <x v="3"/>
    <x v="6"/>
    <n v="3"/>
    <n v="3392"/>
    <n v="10176"/>
    <x v="8"/>
    <s v="Sep-25"/>
  </r>
  <r>
    <d v="2025-09-08T00:00:00"/>
    <x v="0"/>
    <x v="3"/>
    <x v="7"/>
    <n v="5"/>
    <n v="3657"/>
    <n v="18285"/>
    <x v="8"/>
    <s v="Sep-25"/>
  </r>
  <r>
    <d v="2025-09-09T00:00:00"/>
    <x v="1"/>
    <x v="1"/>
    <x v="1"/>
    <n v="3"/>
    <n v="22939"/>
    <n v="68817"/>
    <x v="8"/>
    <s v="Sep-25"/>
  </r>
  <r>
    <d v="2025-09-09T00:00:00"/>
    <x v="3"/>
    <x v="4"/>
    <x v="4"/>
    <n v="6"/>
    <n v="8293"/>
    <n v="49758"/>
    <x v="8"/>
    <s v="Sep-25"/>
  </r>
  <r>
    <d v="2025-09-09T00:00:00"/>
    <x v="1"/>
    <x v="3"/>
    <x v="3"/>
    <n v="1"/>
    <n v="3537"/>
    <n v="3537"/>
    <x v="8"/>
    <s v="Sep-25"/>
  </r>
  <r>
    <d v="2025-09-10T00:00:00"/>
    <x v="2"/>
    <x v="3"/>
    <x v="7"/>
    <n v="9"/>
    <n v="3363"/>
    <n v="30267"/>
    <x v="8"/>
    <s v="Sep-25"/>
  </r>
  <r>
    <d v="2025-09-10T00:00:00"/>
    <x v="3"/>
    <x v="5"/>
    <x v="2"/>
    <n v="9"/>
    <n v="55208"/>
    <n v="496872"/>
    <x v="8"/>
    <s v="Sep-25"/>
  </r>
  <r>
    <d v="2025-09-10T00:00:00"/>
    <x v="0"/>
    <x v="4"/>
    <x v="3"/>
    <n v="9"/>
    <n v="8212"/>
    <n v="73908"/>
    <x v="8"/>
    <s v="Sep-25"/>
  </r>
  <r>
    <d v="2025-09-10T00:00:00"/>
    <x v="0"/>
    <x v="1"/>
    <x v="0"/>
    <n v="8"/>
    <n v="21775"/>
    <n v="174200"/>
    <x v="8"/>
    <s v="Sep-25"/>
  </r>
  <r>
    <d v="2025-09-10T00:00:00"/>
    <x v="2"/>
    <x v="2"/>
    <x v="4"/>
    <n v="3"/>
    <n v="17860"/>
    <n v="53580"/>
    <x v="8"/>
    <s v="Sep-25"/>
  </r>
  <r>
    <d v="2025-09-11T00:00:00"/>
    <x v="0"/>
    <x v="0"/>
    <x v="6"/>
    <n v="8"/>
    <n v="12395"/>
    <n v="99160"/>
    <x v="8"/>
    <s v="Sep-25"/>
  </r>
  <r>
    <d v="2025-09-11T00:00:00"/>
    <x v="3"/>
    <x v="5"/>
    <x v="1"/>
    <n v="3"/>
    <n v="56533"/>
    <n v="169599"/>
    <x v="8"/>
    <s v="Sep-25"/>
  </r>
  <r>
    <d v="2025-09-11T00:00:00"/>
    <x v="1"/>
    <x v="3"/>
    <x v="3"/>
    <n v="6"/>
    <n v="3482"/>
    <n v="20892"/>
    <x v="8"/>
    <s v="Sep-25"/>
  </r>
  <r>
    <d v="2025-09-11T00:00:00"/>
    <x v="1"/>
    <x v="3"/>
    <x v="2"/>
    <n v="8"/>
    <n v="3356"/>
    <n v="26848"/>
    <x v="8"/>
    <s v="Sep-25"/>
  </r>
  <r>
    <d v="2025-09-11T00:00:00"/>
    <x v="2"/>
    <x v="0"/>
    <x v="6"/>
    <n v="2"/>
    <n v="11509"/>
    <n v="23018"/>
    <x v="8"/>
    <s v="Sep-25"/>
  </r>
  <r>
    <d v="2025-09-11T00:00:00"/>
    <x v="3"/>
    <x v="0"/>
    <x v="5"/>
    <n v="2"/>
    <n v="12028"/>
    <n v="24056"/>
    <x v="8"/>
    <s v="Sep-25"/>
  </r>
  <r>
    <d v="2025-09-12T00:00:00"/>
    <x v="1"/>
    <x v="3"/>
    <x v="3"/>
    <n v="1"/>
    <n v="3593"/>
    <n v="3593"/>
    <x v="8"/>
    <s v="Sep-25"/>
  </r>
  <r>
    <d v="2025-09-12T00:00:00"/>
    <x v="2"/>
    <x v="4"/>
    <x v="6"/>
    <n v="3"/>
    <n v="8295"/>
    <n v="24885"/>
    <x v="8"/>
    <s v="Sep-25"/>
  </r>
  <r>
    <d v="2025-09-12T00:00:00"/>
    <x v="1"/>
    <x v="0"/>
    <x v="7"/>
    <n v="7"/>
    <n v="11769"/>
    <n v="82383"/>
    <x v="8"/>
    <s v="Sep-25"/>
  </r>
  <r>
    <d v="2025-09-12T00:00:00"/>
    <x v="3"/>
    <x v="2"/>
    <x v="6"/>
    <n v="2"/>
    <n v="18717"/>
    <n v="37434"/>
    <x v="8"/>
    <s v="Sep-25"/>
  </r>
  <r>
    <d v="2025-09-12T00:00:00"/>
    <x v="1"/>
    <x v="5"/>
    <x v="0"/>
    <n v="1"/>
    <n v="54772"/>
    <n v="54772"/>
    <x v="8"/>
    <s v="Sep-25"/>
  </r>
  <r>
    <d v="2025-09-13T00:00:00"/>
    <x v="0"/>
    <x v="4"/>
    <x v="4"/>
    <n v="4"/>
    <n v="7773"/>
    <n v="31092"/>
    <x v="8"/>
    <s v="Sep-25"/>
  </r>
  <r>
    <d v="2025-09-13T00:00:00"/>
    <x v="3"/>
    <x v="3"/>
    <x v="3"/>
    <n v="8"/>
    <n v="3352"/>
    <n v="26816"/>
    <x v="8"/>
    <s v="Sep-25"/>
  </r>
  <r>
    <d v="2025-09-13T00:00:00"/>
    <x v="0"/>
    <x v="1"/>
    <x v="0"/>
    <n v="10"/>
    <n v="22282"/>
    <n v="222820"/>
    <x v="8"/>
    <s v="Sep-25"/>
  </r>
  <r>
    <d v="2025-09-13T00:00:00"/>
    <x v="1"/>
    <x v="5"/>
    <x v="6"/>
    <n v="3"/>
    <n v="52552"/>
    <n v="157656"/>
    <x v="8"/>
    <s v="Sep-25"/>
  </r>
  <r>
    <d v="2025-09-13T00:00:00"/>
    <x v="2"/>
    <x v="5"/>
    <x v="6"/>
    <n v="1"/>
    <n v="55918"/>
    <n v="55918"/>
    <x v="8"/>
    <s v="Sep-25"/>
  </r>
  <r>
    <d v="2025-09-14T00:00:00"/>
    <x v="2"/>
    <x v="2"/>
    <x v="1"/>
    <n v="1"/>
    <n v="17295"/>
    <n v="17295"/>
    <x v="8"/>
    <s v="Sep-25"/>
  </r>
  <r>
    <d v="2025-09-14T00:00:00"/>
    <x v="1"/>
    <x v="1"/>
    <x v="0"/>
    <n v="10"/>
    <n v="22354"/>
    <n v="223540"/>
    <x v="8"/>
    <s v="Sep-25"/>
  </r>
  <r>
    <d v="2025-09-14T00:00:00"/>
    <x v="1"/>
    <x v="3"/>
    <x v="5"/>
    <n v="1"/>
    <n v="3357"/>
    <n v="3357"/>
    <x v="8"/>
    <s v="Sep-25"/>
  </r>
  <r>
    <d v="2025-09-14T00:00:00"/>
    <x v="2"/>
    <x v="2"/>
    <x v="5"/>
    <n v="7"/>
    <n v="18576"/>
    <n v="130032"/>
    <x v="8"/>
    <s v="Sep-25"/>
  </r>
  <r>
    <d v="2025-09-14T00:00:00"/>
    <x v="3"/>
    <x v="4"/>
    <x v="1"/>
    <n v="5"/>
    <n v="7976"/>
    <n v="39880"/>
    <x v="8"/>
    <s v="Sep-25"/>
  </r>
  <r>
    <d v="2025-09-14T00:00:00"/>
    <x v="0"/>
    <x v="0"/>
    <x v="0"/>
    <n v="6"/>
    <n v="12032"/>
    <n v="72192"/>
    <x v="8"/>
    <s v="Sep-25"/>
  </r>
  <r>
    <d v="2025-09-15T00:00:00"/>
    <x v="1"/>
    <x v="0"/>
    <x v="2"/>
    <n v="10"/>
    <n v="11469"/>
    <n v="114690"/>
    <x v="8"/>
    <s v="Sep-25"/>
  </r>
  <r>
    <d v="2025-09-15T00:00:00"/>
    <x v="0"/>
    <x v="3"/>
    <x v="0"/>
    <n v="7"/>
    <n v="3538"/>
    <n v="24766"/>
    <x v="8"/>
    <s v="Sep-25"/>
  </r>
  <r>
    <d v="2025-09-15T00:00:00"/>
    <x v="2"/>
    <x v="2"/>
    <x v="5"/>
    <n v="3"/>
    <n v="18205"/>
    <n v="54615"/>
    <x v="8"/>
    <s v="Sep-25"/>
  </r>
  <r>
    <d v="2025-09-15T00:00:00"/>
    <x v="3"/>
    <x v="4"/>
    <x v="4"/>
    <n v="8"/>
    <n v="8246"/>
    <n v="65968"/>
    <x v="8"/>
    <s v="Sep-25"/>
  </r>
  <r>
    <d v="2025-09-15T00:00:00"/>
    <x v="1"/>
    <x v="0"/>
    <x v="0"/>
    <n v="4"/>
    <n v="11401"/>
    <n v="45604"/>
    <x v="8"/>
    <s v="Sep-25"/>
  </r>
  <r>
    <d v="2025-09-15T00:00:00"/>
    <x v="0"/>
    <x v="3"/>
    <x v="1"/>
    <n v="4"/>
    <n v="3604"/>
    <n v="14416"/>
    <x v="8"/>
    <s v="Sep-25"/>
  </r>
  <r>
    <d v="2025-09-16T00:00:00"/>
    <x v="3"/>
    <x v="5"/>
    <x v="5"/>
    <n v="6"/>
    <n v="55332"/>
    <n v="331992"/>
    <x v="8"/>
    <s v="Sep-25"/>
  </r>
  <r>
    <d v="2025-09-16T00:00:00"/>
    <x v="1"/>
    <x v="5"/>
    <x v="2"/>
    <n v="5"/>
    <n v="53649"/>
    <n v="268245"/>
    <x v="8"/>
    <s v="Sep-25"/>
  </r>
  <r>
    <d v="2025-09-16T00:00:00"/>
    <x v="0"/>
    <x v="2"/>
    <x v="0"/>
    <n v="9"/>
    <n v="18089"/>
    <n v="162801"/>
    <x v="8"/>
    <s v="Sep-25"/>
  </r>
  <r>
    <d v="2025-09-16T00:00:00"/>
    <x v="0"/>
    <x v="5"/>
    <x v="5"/>
    <n v="6"/>
    <n v="54428"/>
    <n v="326568"/>
    <x v="8"/>
    <s v="Sep-25"/>
  </r>
  <r>
    <d v="2025-09-16T00:00:00"/>
    <x v="0"/>
    <x v="1"/>
    <x v="2"/>
    <n v="6"/>
    <n v="22734"/>
    <n v="136404"/>
    <x v="8"/>
    <s v="Sep-25"/>
  </r>
  <r>
    <d v="2025-09-17T00:00:00"/>
    <x v="3"/>
    <x v="5"/>
    <x v="6"/>
    <n v="8"/>
    <n v="53104"/>
    <n v="424832"/>
    <x v="8"/>
    <s v="Sep-25"/>
  </r>
  <r>
    <d v="2025-09-17T00:00:00"/>
    <x v="3"/>
    <x v="4"/>
    <x v="5"/>
    <n v="8"/>
    <n v="8227"/>
    <n v="65816"/>
    <x v="8"/>
    <s v="Sep-25"/>
  </r>
  <r>
    <d v="2025-09-17T00:00:00"/>
    <x v="3"/>
    <x v="0"/>
    <x v="7"/>
    <n v="9"/>
    <n v="11759"/>
    <n v="105831"/>
    <x v="8"/>
    <s v="Sep-25"/>
  </r>
  <r>
    <d v="2025-09-17T00:00:00"/>
    <x v="2"/>
    <x v="4"/>
    <x v="7"/>
    <n v="4"/>
    <n v="8061"/>
    <n v="32244"/>
    <x v="8"/>
    <s v="Sep-25"/>
  </r>
  <r>
    <d v="2025-09-17T00:00:00"/>
    <x v="2"/>
    <x v="2"/>
    <x v="1"/>
    <n v="3"/>
    <n v="17604"/>
    <n v="52812"/>
    <x v="8"/>
    <s v="Sep-25"/>
  </r>
  <r>
    <d v="2025-09-18T00:00:00"/>
    <x v="2"/>
    <x v="3"/>
    <x v="6"/>
    <n v="10"/>
    <n v="3536"/>
    <n v="35360"/>
    <x v="8"/>
    <s v="Sep-25"/>
  </r>
  <r>
    <d v="2025-09-18T00:00:00"/>
    <x v="1"/>
    <x v="4"/>
    <x v="1"/>
    <n v="5"/>
    <n v="8164"/>
    <n v="40820"/>
    <x v="8"/>
    <s v="Sep-25"/>
  </r>
  <r>
    <d v="2025-09-19T00:00:00"/>
    <x v="0"/>
    <x v="2"/>
    <x v="3"/>
    <n v="2"/>
    <n v="17994"/>
    <n v="35988"/>
    <x v="8"/>
    <s v="Sep-25"/>
  </r>
  <r>
    <d v="2025-09-19T00:00:00"/>
    <x v="1"/>
    <x v="2"/>
    <x v="4"/>
    <n v="5"/>
    <n v="17489"/>
    <n v="87445"/>
    <x v="8"/>
    <s v="Sep-25"/>
  </r>
  <r>
    <d v="2025-09-19T00:00:00"/>
    <x v="2"/>
    <x v="1"/>
    <x v="1"/>
    <n v="6"/>
    <n v="22626"/>
    <n v="135756"/>
    <x v="8"/>
    <s v="Sep-25"/>
  </r>
  <r>
    <d v="2025-09-19T00:00:00"/>
    <x v="1"/>
    <x v="5"/>
    <x v="4"/>
    <n v="9"/>
    <n v="52387"/>
    <n v="471483"/>
    <x v="8"/>
    <s v="Sep-25"/>
  </r>
  <r>
    <d v="2025-09-20T00:00:00"/>
    <x v="1"/>
    <x v="1"/>
    <x v="5"/>
    <n v="8"/>
    <n v="22511"/>
    <n v="180088"/>
    <x v="8"/>
    <s v="Sep-25"/>
  </r>
  <r>
    <d v="2025-09-20T00:00:00"/>
    <x v="2"/>
    <x v="2"/>
    <x v="6"/>
    <n v="2"/>
    <n v="18579"/>
    <n v="37158"/>
    <x v="8"/>
    <s v="Sep-25"/>
  </r>
  <r>
    <d v="2025-09-20T00:00:00"/>
    <x v="1"/>
    <x v="1"/>
    <x v="7"/>
    <n v="8"/>
    <n v="21752"/>
    <n v="174016"/>
    <x v="8"/>
    <s v="Sep-25"/>
  </r>
  <r>
    <d v="2025-09-20T00:00:00"/>
    <x v="0"/>
    <x v="5"/>
    <x v="0"/>
    <n v="1"/>
    <n v="56028"/>
    <n v="56028"/>
    <x v="8"/>
    <s v="Sep-25"/>
  </r>
  <r>
    <d v="2025-09-20T00:00:00"/>
    <x v="0"/>
    <x v="2"/>
    <x v="4"/>
    <n v="1"/>
    <n v="17285"/>
    <n v="17285"/>
    <x v="8"/>
    <s v="Sep-25"/>
  </r>
  <r>
    <d v="2025-09-21T00:00:00"/>
    <x v="0"/>
    <x v="4"/>
    <x v="0"/>
    <n v="4"/>
    <n v="7856"/>
    <n v="31424"/>
    <x v="8"/>
    <s v="Sep-25"/>
  </r>
  <r>
    <d v="2025-09-21T00:00:00"/>
    <x v="1"/>
    <x v="2"/>
    <x v="0"/>
    <n v="9"/>
    <n v="17674"/>
    <n v="159066"/>
    <x v="8"/>
    <s v="Sep-25"/>
  </r>
  <r>
    <d v="2025-09-21T00:00:00"/>
    <x v="3"/>
    <x v="0"/>
    <x v="1"/>
    <n v="5"/>
    <n v="11579"/>
    <n v="57895"/>
    <x v="8"/>
    <s v="Sep-25"/>
  </r>
  <r>
    <d v="2025-09-21T00:00:00"/>
    <x v="2"/>
    <x v="5"/>
    <x v="7"/>
    <n v="10"/>
    <n v="55327"/>
    <n v="553270"/>
    <x v="8"/>
    <s v="Sep-25"/>
  </r>
  <r>
    <d v="2025-09-22T00:00:00"/>
    <x v="1"/>
    <x v="4"/>
    <x v="5"/>
    <n v="9"/>
    <n v="7854"/>
    <n v="70686"/>
    <x v="8"/>
    <s v="Sep-25"/>
  </r>
  <r>
    <d v="2025-09-22T00:00:00"/>
    <x v="1"/>
    <x v="0"/>
    <x v="0"/>
    <n v="10"/>
    <n v="11693"/>
    <n v="116930"/>
    <x v="8"/>
    <s v="Sep-25"/>
  </r>
  <r>
    <d v="2025-09-23T00:00:00"/>
    <x v="2"/>
    <x v="4"/>
    <x v="5"/>
    <n v="9"/>
    <n v="7954"/>
    <n v="71586"/>
    <x v="8"/>
    <s v="Sep-25"/>
  </r>
  <r>
    <d v="2025-09-23T00:00:00"/>
    <x v="1"/>
    <x v="5"/>
    <x v="4"/>
    <n v="1"/>
    <n v="52832"/>
    <n v="52832"/>
    <x v="8"/>
    <s v="Sep-25"/>
  </r>
  <r>
    <d v="2025-09-24T00:00:00"/>
    <x v="0"/>
    <x v="3"/>
    <x v="3"/>
    <n v="3"/>
    <n v="3571"/>
    <n v="10713"/>
    <x v="8"/>
    <s v="Sep-25"/>
  </r>
  <r>
    <d v="2025-09-24T00:00:00"/>
    <x v="3"/>
    <x v="4"/>
    <x v="5"/>
    <n v="5"/>
    <n v="7865"/>
    <n v="39325"/>
    <x v="8"/>
    <s v="Sep-25"/>
  </r>
  <r>
    <d v="2025-09-25T00:00:00"/>
    <x v="0"/>
    <x v="3"/>
    <x v="6"/>
    <n v="2"/>
    <n v="3609"/>
    <n v="7218"/>
    <x v="8"/>
    <s v="Sep-25"/>
  </r>
  <r>
    <d v="2025-09-25T00:00:00"/>
    <x v="3"/>
    <x v="5"/>
    <x v="4"/>
    <n v="5"/>
    <n v="56014"/>
    <n v="280070"/>
    <x v="8"/>
    <s v="Sep-25"/>
  </r>
  <r>
    <d v="2025-09-25T00:00:00"/>
    <x v="3"/>
    <x v="3"/>
    <x v="2"/>
    <n v="4"/>
    <n v="3375"/>
    <n v="13500"/>
    <x v="8"/>
    <s v="Sep-25"/>
  </r>
  <r>
    <d v="2025-09-26T00:00:00"/>
    <x v="2"/>
    <x v="2"/>
    <x v="3"/>
    <n v="3"/>
    <n v="18359"/>
    <n v="55077"/>
    <x v="8"/>
    <s v="Sep-25"/>
  </r>
  <r>
    <d v="2025-09-26T00:00:00"/>
    <x v="2"/>
    <x v="2"/>
    <x v="4"/>
    <n v="8"/>
    <n v="17154"/>
    <n v="137232"/>
    <x v="8"/>
    <s v="Sep-25"/>
  </r>
  <r>
    <d v="2025-09-26T00:00:00"/>
    <x v="3"/>
    <x v="5"/>
    <x v="5"/>
    <n v="8"/>
    <n v="54786"/>
    <n v="438288"/>
    <x v="8"/>
    <s v="Sep-25"/>
  </r>
  <r>
    <d v="2025-09-26T00:00:00"/>
    <x v="1"/>
    <x v="2"/>
    <x v="5"/>
    <n v="10"/>
    <n v="18134"/>
    <n v="181340"/>
    <x v="8"/>
    <s v="Sep-25"/>
  </r>
  <r>
    <d v="2025-09-26T00:00:00"/>
    <x v="0"/>
    <x v="3"/>
    <x v="1"/>
    <n v="6"/>
    <n v="3519"/>
    <n v="21114"/>
    <x v="8"/>
    <s v="Sep-25"/>
  </r>
  <r>
    <d v="2025-09-26T00:00:00"/>
    <x v="0"/>
    <x v="2"/>
    <x v="4"/>
    <n v="7"/>
    <n v="18162"/>
    <n v="127134"/>
    <x v="8"/>
    <s v="Sep-25"/>
  </r>
  <r>
    <d v="2025-09-27T00:00:00"/>
    <x v="1"/>
    <x v="4"/>
    <x v="6"/>
    <n v="8"/>
    <n v="7907"/>
    <n v="63256"/>
    <x v="8"/>
    <s v="Sep-25"/>
  </r>
  <r>
    <d v="2025-09-27T00:00:00"/>
    <x v="2"/>
    <x v="1"/>
    <x v="3"/>
    <n v="7"/>
    <n v="22147"/>
    <n v="155029"/>
    <x v="8"/>
    <s v="Sep-25"/>
  </r>
  <r>
    <d v="2025-09-27T00:00:00"/>
    <x v="2"/>
    <x v="4"/>
    <x v="2"/>
    <n v="3"/>
    <n v="8130"/>
    <n v="24390"/>
    <x v="8"/>
    <s v="Sep-25"/>
  </r>
  <r>
    <d v="2025-09-28T00:00:00"/>
    <x v="3"/>
    <x v="5"/>
    <x v="4"/>
    <n v="6"/>
    <n v="55302"/>
    <n v="331812"/>
    <x v="8"/>
    <s v="Sep-25"/>
  </r>
  <r>
    <d v="2025-09-28T00:00:00"/>
    <x v="3"/>
    <x v="1"/>
    <x v="0"/>
    <n v="7"/>
    <n v="21053"/>
    <n v="147371"/>
    <x v="8"/>
    <s v="Sep-25"/>
  </r>
  <r>
    <d v="2025-09-29T00:00:00"/>
    <x v="3"/>
    <x v="2"/>
    <x v="4"/>
    <n v="1"/>
    <n v="17262"/>
    <n v="17262"/>
    <x v="8"/>
    <s v="Sep-25"/>
  </r>
  <r>
    <d v="2025-09-29T00:00:00"/>
    <x v="1"/>
    <x v="4"/>
    <x v="7"/>
    <n v="3"/>
    <n v="8128"/>
    <n v="24384"/>
    <x v="8"/>
    <s v="Sep-25"/>
  </r>
  <r>
    <d v="2025-09-30T00:00:00"/>
    <x v="2"/>
    <x v="3"/>
    <x v="4"/>
    <n v="4"/>
    <n v="3396"/>
    <n v="13584"/>
    <x v="8"/>
    <s v="Sep-25"/>
  </r>
  <r>
    <d v="2025-09-30T00:00:00"/>
    <x v="2"/>
    <x v="2"/>
    <x v="0"/>
    <n v="7"/>
    <n v="18392"/>
    <n v="128744"/>
    <x v="8"/>
    <s v="Sep-25"/>
  </r>
  <r>
    <d v="2025-09-30T00:00:00"/>
    <x v="2"/>
    <x v="5"/>
    <x v="7"/>
    <n v="10"/>
    <n v="57675"/>
    <n v="576750"/>
    <x v="8"/>
    <s v="Sep-25"/>
  </r>
  <r>
    <d v="2025-09-30T00:00:00"/>
    <x v="3"/>
    <x v="1"/>
    <x v="0"/>
    <n v="1"/>
    <n v="21712"/>
    <n v="21712"/>
    <x v="8"/>
    <s v="Sep-25"/>
  </r>
  <r>
    <d v="2025-09-30T00:00:00"/>
    <x v="0"/>
    <x v="5"/>
    <x v="5"/>
    <n v="2"/>
    <n v="56986"/>
    <n v="113972"/>
    <x v="8"/>
    <s v="Sep-25"/>
  </r>
  <r>
    <d v="2025-10-01T00:00:00"/>
    <x v="1"/>
    <x v="3"/>
    <x v="3"/>
    <n v="6"/>
    <n v="3574"/>
    <n v="21444"/>
    <x v="9"/>
    <s v="Oct-25"/>
  </r>
  <r>
    <d v="2025-10-01T00:00:00"/>
    <x v="3"/>
    <x v="3"/>
    <x v="3"/>
    <n v="9"/>
    <n v="3398"/>
    <n v="30582"/>
    <x v="9"/>
    <s v="Oct-25"/>
  </r>
  <r>
    <d v="2025-10-02T00:00:00"/>
    <x v="3"/>
    <x v="1"/>
    <x v="2"/>
    <n v="9"/>
    <n v="21746"/>
    <n v="195714"/>
    <x v="9"/>
    <s v="Oct-25"/>
  </r>
  <r>
    <d v="2025-10-02T00:00:00"/>
    <x v="2"/>
    <x v="3"/>
    <x v="6"/>
    <n v="5"/>
    <n v="3674"/>
    <n v="18370"/>
    <x v="9"/>
    <s v="Oct-25"/>
  </r>
  <r>
    <d v="2025-10-02T00:00:00"/>
    <x v="1"/>
    <x v="1"/>
    <x v="7"/>
    <n v="2"/>
    <n v="22326"/>
    <n v="44652"/>
    <x v="9"/>
    <s v="Oct-25"/>
  </r>
  <r>
    <d v="2025-10-03T00:00:00"/>
    <x v="3"/>
    <x v="0"/>
    <x v="3"/>
    <n v="3"/>
    <n v="11501"/>
    <n v="34503"/>
    <x v="9"/>
    <s v="Oct-25"/>
  </r>
  <r>
    <d v="2025-10-03T00:00:00"/>
    <x v="3"/>
    <x v="3"/>
    <x v="3"/>
    <n v="10"/>
    <n v="3387"/>
    <n v="33870"/>
    <x v="9"/>
    <s v="Oct-25"/>
  </r>
  <r>
    <d v="2025-10-03T00:00:00"/>
    <x v="3"/>
    <x v="4"/>
    <x v="4"/>
    <n v="7"/>
    <n v="7884"/>
    <n v="55188"/>
    <x v="9"/>
    <s v="Oct-25"/>
  </r>
  <r>
    <d v="2025-10-04T00:00:00"/>
    <x v="3"/>
    <x v="4"/>
    <x v="7"/>
    <n v="10"/>
    <n v="7998"/>
    <n v="79980"/>
    <x v="9"/>
    <s v="Oct-25"/>
  </r>
  <r>
    <d v="2025-10-04T00:00:00"/>
    <x v="1"/>
    <x v="0"/>
    <x v="0"/>
    <n v="7"/>
    <n v="12511"/>
    <n v="87577"/>
    <x v="9"/>
    <s v="Oct-25"/>
  </r>
  <r>
    <d v="2025-10-04T00:00:00"/>
    <x v="2"/>
    <x v="5"/>
    <x v="7"/>
    <n v="10"/>
    <n v="54907"/>
    <n v="549070"/>
    <x v="9"/>
    <s v="Oct-25"/>
  </r>
  <r>
    <d v="2025-10-05T00:00:00"/>
    <x v="0"/>
    <x v="4"/>
    <x v="4"/>
    <n v="2"/>
    <n v="7713"/>
    <n v="15426"/>
    <x v="9"/>
    <s v="Oct-25"/>
  </r>
  <r>
    <d v="2025-10-05T00:00:00"/>
    <x v="2"/>
    <x v="3"/>
    <x v="1"/>
    <n v="9"/>
    <n v="3636"/>
    <n v="32724"/>
    <x v="9"/>
    <s v="Oct-25"/>
  </r>
  <r>
    <d v="2025-10-05T00:00:00"/>
    <x v="0"/>
    <x v="1"/>
    <x v="4"/>
    <n v="2"/>
    <n v="22404"/>
    <n v="44808"/>
    <x v="9"/>
    <s v="Oct-25"/>
  </r>
  <r>
    <d v="2025-10-05T00:00:00"/>
    <x v="2"/>
    <x v="4"/>
    <x v="7"/>
    <n v="6"/>
    <n v="8028"/>
    <n v="48168"/>
    <x v="9"/>
    <s v="Oct-25"/>
  </r>
  <r>
    <d v="2025-10-06T00:00:00"/>
    <x v="3"/>
    <x v="3"/>
    <x v="4"/>
    <n v="10"/>
    <n v="3581"/>
    <n v="35810"/>
    <x v="9"/>
    <s v="Oct-25"/>
  </r>
  <r>
    <d v="2025-10-06T00:00:00"/>
    <x v="3"/>
    <x v="2"/>
    <x v="0"/>
    <n v="5"/>
    <n v="17401"/>
    <n v="87005"/>
    <x v="9"/>
    <s v="Oct-25"/>
  </r>
  <r>
    <d v="2025-10-07T00:00:00"/>
    <x v="2"/>
    <x v="0"/>
    <x v="0"/>
    <n v="1"/>
    <n v="12155"/>
    <n v="12155"/>
    <x v="9"/>
    <s v="Oct-25"/>
  </r>
  <r>
    <d v="2025-10-07T00:00:00"/>
    <x v="1"/>
    <x v="4"/>
    <x v="7"/>
    <n v="5"/>
    <n v="8247"/>
    <n v="41235"/>
    <x v="9"/>
    <s v="Oct-25"/>
  </r>
  <r>
    <d v="2025-10-07T00:00:00"/>
    <x v="0"/>
    <x v="2"/>
    <x v="4"/>
    <n v="2"/>
    <n v="17328"/>
    <n v="34656"/>
    <x v="9"/>
    <s v="Oct-25"/>
  </r>
  <r>
    <d v="2025-10-07T00:00:00"/>
    <x v="0"/>
    <x v="2"/>
    <x v="0"/>
    <n v="3"/>
    <n v="18208"/>
    <n v="54624"/>
    <x v="9"/>
    <s v="Oct-25"/>
  </r>
  <r>
    <d v="2025-10-07T00:00:00"/>
    <x v="2"/>
    <x v="2"/>
    <x v="7"/>
    <n v="2"/>
    <n v="18186"/>
    <n v="36372"/>
    <x v="9"/>
    <s v="Oct-25"/>
  </r>
  <r>
    <d v="2025-10-07T00:00:00"/>
    <x v="1"/>
    <x v="0"/>
    <x v="4"/>
    <n v="6"/>
    <n v="12369"/>
    <n v="74214"/>
    <x v="9"/>
    <s v="Oct-25"/>
  </r>
  <r>
    <d v="2025-10-08T00:00:00"/>
    <x v="1"/>
    <x v="3"/>
    <x v="6"/>
    <n v="9"/>
    <n v="3626"/>
    <n v="32634"/>
    <x v="9"/>
    <s v="Oct-25"/>
  </r>
  <r>
    <d v="2025-10-08T00:00:00"/>
    <x v="2"/>
    <x v="5"/>
    <x v="6"/>
    <n v="10"/>
    <n v="57386"/>
    <n v="573860"/>
    <x v="9"/>
    <s v="Oct-25"/>
  </r>
  <r>
    <d v="2025-10-08T00:00:00"/>
    <x v="1"/>
    <x v="3"/>
    <x v="3"/>
    <n v="7"/>
    <n v="3408"/>
    <n v="23856"/>
    <x v="9"/>
    <s v="Oct-25"/>
  </r>
  <r>
    <d v="2025-10-08T00:00:00"/>
    <x v="3"/>
    <x v="0"/>
    <x v="6"/>
    <n v="4"/>
    <n v="12093"/>
    <n v="48372"/>
    <x v="9"/>
    <s v="Oct-25"/>
  </r>
  <r>
    <d v="2025-10-09T00:00:00"/>
    <x v="0"/>
    <x v="0"/>
    <x v="0"/>
    <n v="2"/>
    <n v="11463"/>
    <n v="22926"/>
    <x v="9"/>
    <s v="Oct-25"/>
  </r>
  <r>
    <d v="2025-10-09T00:00:00"/>
    <x v="3"/>
    <x v="3"/>
    <x v="4"/>
    <n v="5"/>
    <n v="3491"/>
    <n v="17455"/>
    <x v="9"/>
    <s v="Oct-25"/>
  </r>
  <r>
    <d v="2025-10-09T00:00:00"/>
    <x v="1"/>
    <x v="3"/>
    <x v="3"/>
    <n v="8"/>
    <n v="3416"/>
    <n v="27328"/>
    <x v="9"/>
    <s v="Oct-25"/>
  </r>
  <r>
    <d v="2025-10-09T00:00:00"/>
    <x v="3"/>
    <x v="5"/>
    <x v="0"/>
    <n v="8"/>
    <n v="54351"/>
    <n v="434808"/>
    <x v="9"/>
    <s v="Oct-25"/>
  </r>
  <r>
    <d v="2025-10-10T00:00:00"/>
    <x v="0"/>
    <x v="5"/>
    <x v="5"/>
    <n v="7"/>
    <n v="55607"/>
    <n v="389249"/>
    <x v="9"/>
    <s v="Oct-25"/>
  </r>
  <r>
    <d v="2025-10-10T00:00:00"/>
    <x v="2"/>
    <x v="2"/>
    <x v="0"/>
    <n v="5"/>
    <n v="18544"/>
    <n v="92720"/>
    <x v="9"/>
    <s v="Oct-25"/>
  </r>
  <r>
    <d v="2025-10-10T00:00:00"/>
    <x v="2"/>
    <x v="0"/>
    <x v="3"/>
    <n v="8"/>
    <n v="12327"/>
    <n v="98616"/>
    <x v="9"/>
    <s v="Oct-25"/>
  </r>
  <r>
    <d v="2025-10-10T00:00:00"/>
    <x v="1"/>
    <x v="0"/>
    <x v="2"/>
    <n v="9"/>
    <n v="11804"/>
    <n v="106236"/>
    <x v="9"/>
    <s v="Oct-25"/>
  </r>
  <r>
    <d v="2025-10-11T00:00:00"/>
    <x v="2"/>
    <x v="4"/>
    <x v="7"/>
    <n v="1"/>
    <n v="8265"/>
    <n v="8265"/>
    <x v="9"/>
    <s v="Oct-25"/>
  </r>
  <r>
    <d v="2025-10-11T00:00:00"/>
    <x v="0"/>
    <x v="3"/>
    <x v="1"/>
    <n v="9"/>
    <n v="3361"/>
    <n v="30249"/>
    <x v="9"/>
    <s v="Oct-25"/>
  </r>
  <r>
    <d v="2025-10-11T00:00:00"/>
    <x v="3"/>
    <x v="2"/>
    <x v="2"/>
    <n v="5"/>
    <n v="17553"/>
    <n v="87765"/>
    <x v="9"/>
    <s v="Oct-25"/>
  </r>
  <r>
    <d v="2025-10-12T00:00:00"/>
    <x v="0"/>
    <x v="4"/>
    <x v="1"/>
    <n v="1"/>
    <n v="8350"/>
    <n v="8350"/>
    <x v="9"/>
    <s v="Oct-25"/>
  </r>
  <r>
    <d v="2025-10-12T00:00:00"/>
    <x v="1"/>
    <x v="4"/>
    <x v="1"/>
    <n v="2"/>
    <n v="7669"/>
    <n v="15338"/>
    <x v="9"/>
    <s v="Oct-25"/>
  </r>
  <r>
    <d v="2025-10-13T00:00:00"/>
    <x v="1"/>
    <x v="3"/>
    <x v="6"/>
    <n v="2"/>
    <n v="3568"/>
    <n v="7136"/>
    <x v="9"/>
    <s v="Oct-25"/>
  </r>
  <r>
    <d v="2025-10-13T00:00:00"/>
    <x v="2"/>
    <x v="2"/>
    <x v="4"/>
    <n v="2"/>
    <n v="18249"/>
    <n v="36498"/>
    <x v="9"/>
    <s v="Oct-25"/>
  </r>
  <r>
    <d v="2025-10-13T00:00:00"/>
    <x v="2"/>
    <x v="3"/>
    <x v="5"/>
    <n v="5"/>
    <n v="3381"/>
    <n v="16905"/>
    <x v="9"/>
    <s v="Oct-25"/>
  </r>
  <r>
    <d v="2025-10-13T00:00:00"/>
    <x v="0"/>
    <x v="2"/>
    <x v="7"/>
    <n v="7"/>
    <n v="17799"/>
    <n v="124593"/>
    <x v="9"/>
    <s v="Oct-25"/>
  </r>
  <r>
    <d v="2025-10-13T00:00:00"/>
    <x v="0"/>
    <x v="2"/>
    <x v="0"/>
    <n v="3"/>
    <n v="17893"/>
    <n v="53679"/>
    <x v="9"/>
    <s v="Oct-25"/>
  </r>
  <r>
    <d v="2025-10-13T00:00:00"/>
    <x v="3"/>
    <x v="1"/>
    <x v="3"/>
    <n v="3"/>
    <n v="22320"/>
    <n v="66960"/>
    <x v="9"/>
    <s v="Oct-25"/>
  </r>
  <r>
    <d v="2025-10-14T00:00:00"/>
    <x v="1"/>
    <x v="4"/>
    <x v="3"/>
    <n v="4"/>
    <n v="8091"/>
    <n v="32364"/>
    <x v="9"/>
    <s v="Oct-25"/>
  </r>
  <r>
    <d v="2025-10-14T00:00:00"/>
    <x v="0"/>
    <x v="3"/>
    <x v="0"/>
    <n v="2"/>
    <n v="3337"/>
    <n v="6674"/>
    <x v="9"/>
    <s v="Oct-25"/>
  </r>
  <r>
    <d v="2025-10-15T00:00:00"/>
    <x v="2"/>
    <x v="3"/>
    <x v="7"/>
    <n v="8"/>
    <n v="3377"/>
    <n v="27016"/>
    <x v="9"/>
    <s v="Oct-25"/>
  </r>
  <r>
    <d v="2025-10-15T00:00:00"/>
    <x v="0"/>
    <x v="5"/>
    <x v="3"/>
    <n v="5"/>
    <n v="53083"/>
    <n v="265415"/>
    <x v="9"/>
    <s v="Oct-25"/>
  </r>
  <r>
    <d v="2025-10-16T00:00:00"/>
    <x v="3"/>
    <x v="4"/>
    <x v="7"/>
    <n v="9"/>
    <n v="8166"/>
    <n v="73494"/>
    <x v="9"/>
    <s v="Oct-25"/>
  </r>
  <r>
    <d v="2025-10-16T00:00:00"/>
    <x v="3"/>
    <x v="3"/>
    <x v="3"/>
    <n v="7"/>
    <n v="3620"/>
    <n v="25340"/>
    <x v="9"/>
    <s v="Oct-25"/>
  </r>
  <r>
    <d v="2025-10-16T00:00:00"/>
    <x v="0"/>
    <x v="4"/>
    <x v="2"/>
    <n v="1"/>
    <n v="7907"/>
    <n v="7907"/>
    <x v="9"/>
    <s v="Oct-25"/>
  </r>
  <r>
    <d v="2025-10-16T00:00:00"/>
    <x v="3"/>
    <x v="5"/>
    <x v="5"/>
    <n v="6"/>
    <n v="56000"/>
    <n v="336000"/>
    <x v="9"/>
    <s v="Oct-25"/>
  </r>
  <r>
    <d v="2025-10-17T00:00:00"/>
    <x v="0"/>
    <x v="0"/>
    <x v="1"/>
    <n v="6"/>
    <n v="12041"/>
    <n v="72246"/>
    <x v="9"/>
    <s v="Oct-25"/>
  </r>
  <r>
    <d v="2025-10-17T00:00:00"/>
    <x v="2"/>
    <x v="5"/>
    <x v="4"/>
    <n v="5"/>
    <n v="55812"/>
    <n v="279060"/>
    <x v="9"/>
    <s v="Oct-25"/>
  </r>
  <r>
    <d v="2025-10-17T00:00:00"/>
    <x v="1"/>
    <x v="4"/>
    <x v="7"/>
    <n v="7"/>
    <n v="8128"/>
    <n v="56896"/>
    <x v="9"/>
    <s v="Oct-25"/>
  </r>
  <r>
    <d v="2025-10-17T00:00:00"/>
    <x v="2"/>
    <x v="0"/>
    <x v="3"/>
    <n v="2"/>
    <n v="12156"/>
    <n v="24312"/>
    <x v="9"/>
    <s v="Oct-25"/>
  </r>
  <r>
    <d v="2025-10-17T00:00:00"/>
    <x v="2"/>
    <x v="3"/>
    <x v="1"/>
    <n v="8"/>
    <n v="3582"/>
    <n v="28656"/>
    <x v="9"/>
    <s v="Oct-25"/>
  </r>
  <r>
    <d v="2025-10-18T00:00:00"/>
    <x v="0"/>
    <x v="1"/>
    <x v="7"/>
    <n v="10"/>
    <n v="21424"/>
    <n v="214240"/>
    <x v="9"/>
    <s v="Oct-25"/>
  </r>
  <r>
    <d v="2025-10-18T00:00:00"/>
    <x v="3"/>
    <x v="5"/>
    <x v="0"/>
    <n v="8"/>
    <n v="55186"/>
    <n v="441488"/>
    <x v="9"/>
    <s v="Oct-25"/>
  </r>
  <r>
    <d v="2025-10-18T00:00:00"/>
    <x v="3"/>
    <x v="5"/>
    <x v="7"/>
    <n v="6"/>
    <n v="52558"/>
    <n v="315348"/>
    <x v="9"/>
    <s v="Oct-25"/>
  </r>
  <r>
    <d v="2025-10-19T00:00:00"/>
    <x v="3"/>
    <x v="5"/>
    <x v="2"/>
    <n v="9"/>
    <n v="54771"/>
    <n v="492939"/>
    <x v="9"/>
    <s v="Oct-25"/>
  </r>
  <r>
    <d v="2025-10-19T00:00:00"/>
    <x v="1"/>
    <x v="0"/>
    <x v="2"/>
    <n v="2"/>
    <n v="11444"/>
    <n v="22888"/>
    <x v="9"/>
    <s v="Oct-25"/>
  </r>
  <r>
    <d v="2025-10-20T00:00:00"/>
    <x v="3"/>
    <x v="0"/>
    <x v="7"/>
    <n v="8"/>
    <n v="12488"/>
    <n v="99904"/>
    <x v="9"/>
    <s v="Oct-25"/>
  </r>
  <r>
    <d v="2025-10-20T00:00:00"/>
    <x v="0"/>
    <x v="1"/>
    <x v="6"/>
    <n v="1"/>
    <n v="21278"/>
    <n v="21278"/>
    <x v="9"/>
    <s v="Oct-25"/>
  </r>
  <r>
    <d v="2025-10-20T00:00:00"/>
    <x v="0"/>
    <x v="2"/>
    <x v="1"/>
    <n v="8"/>
    <n v="18200"/>
    <n v="145600"/>
    <x v="9"/>
    <s v="Oct-25"/>
  </r>
  <r>
    <d v="2025-10-21T00:00:00"/>
    <x v="0"/>
    <x v="5"/>
    <x v="1"/>
    <n v="8"/>
    <n v="55522"/>
    <n v="444176"/>
    <x v="9"/>
    <s v="Oct-25"/>
  </r>
  <r>
    <d v="2025-10-21T00:00:00"/>
    <x v="1"/>
    <x v="5"/>
    <x v="2"/>
    <n v="7"/>
    <n v="54105"/>
    <n v="378735"/>
    <x v="9"/>
    <s v="Oct-25"/>
  </r>
  <r>
    <d v="2025-10-21T00:00:00"/>
    <x v="3"/>
    <x v="2"/>
    <x v="1"/>
    <n v="10"/>
    <n v="18082"/>
    <n v="180820"/>
    <x v="9"/>
    <s v="Oct-25"/>
  </r>
  <r>
    <d v="2025-10-21T00:00:00"/>
    <x v="2"/>
    <x v="1"/>
    <x v="7"/>
    <n v="10"/>
    <n v="21281"/>
    <n v="212810"/>
    <x v="9"/>
    <s v="Oct-25"/>
  </r>
  <r>
    <d v="2025-10-21T00:00:00"/>
    <x v="0"/>
    <x v="5"/>
    <x v="0"/>
    <n v="3"/>
    <n v="56416"/>
    <n v="169248"/>
    <x v="9"/>
    <s v="Oct-25"/>
  </r>
  <r>
    <d v="2025-10-21T00:00:00"/>
    <x v="1"/>
    <x v="0"/>
    <x v="5"/>
    <n v="9"/>
    <n v="11598"/>
    <n v="104382"/>
    <x v="9"/>
    <s v="Oct-25"/>
  </r>
  <r>
    <d v="2025-10-22T00:00:00"/>
    <x v="0"/>
    <x v="1"/>
    <x v="1"/>
    <n v="10"/>
    <n v="21727"/>
    <n v="217270"/>
    <x v="9"/>
    <s v="Oct-25"/>
  </r>
  <r>
    <d v="2025-10-22T00:00:00"/>
    <x v="1"/>
    <x v="5"/>
    <x v="4"/>
    <n v="2"/>
    <n v="52284"/>
    <n v="104568"/>
    <x v="9"/>
    <s v="Oct-25"/>
  </r>
  <r>
    <d v="2025-10-22T00:00:00"/>
    <x v="1"/>
    <x v="5"/>
    <x v="0"/>
    <n v="7"/>
    <n v="56064"/>
    <n v="392448"/>
    <x v="9"/>
    <s v="Oct-25"/>
  </r>
  <r>
    <d v="2025-10-23T00:00:00"/>
    <x v="1"/>
    <x v="1"/>
    <x v="6"/>
    <n v="5"/>
    <n v="22050"/>
    <n v="110250"/>
    <x v="9"/>
    <s v="Oct-25"/>
  </r>
  <r>
    <d v="2025-10-23T00:00:00"/>
    <x v="3"/>
    <x v="1"/>
    <x v="6"/>
    <n v="10"/>
    <n v="22421"/>
    <n v="224210"/>
    <x v="9"/>
    <s v="Oct-25"/>
  </r>
  <r>
    <d v="2025-10-23T00:00:00"/>
    <x v="1"/>
    <x v="0"/>
    <x v="4"/>
    <n v="10"/>
    <n v="12540"/>
    <n v="125400"/>
    <x v="9"/>
    <s v="Oct-25"/>
  </r>
  <r>
    <d v="2025-10-23T00:00:00"/>
    <x v="2"/>
    <x v="2"/>
    <x v="3"/>
    <n v="1"/>
    <n v="18103"/>
    <n v="18103"/>
    <x v="9"/>
    <s v="Oct-25"/>
  </r>
  <r>
    <d v="2025-10-23T00:00:00"/>
    <x v="1"/>
    <x v="5"/>
    <x v="1"/>
    <n v="10"/>
    <n v="54240"/>
    <n v="542400"/>
    <x v="9"/>
    <s v="Oct-25"/>
  </r>
  <r>
    <d v="2025-10-24T00:00:00"/>
    <x v="1"/>
    <x v="3"/>
    <x v="2"/>
    <n v="5"/>
    <n v="3343"/>
    <n v="16715"/>
    <x v="9"/>
    <s v="Oct-25"/>
  </r>
  <r>
    <d v="2025-10-24T00:00:00"/>
    <x v="0"/>
    <x v="1"/>
    <x v="4"/>
    <n v="8"/>
    <n v="21287"/>
    <n v="170296"/>
    <x v="9"/>
    <s v="Oct-25"/>
  </r>
  <r>
    <d v="2025-10-24T00:00:00"/>
    <x v="0"/>
    <x v="5"/>
    <x v="5"/>
    <n v="5"/>
    <n v="53402"/>
    <n v="267010"/>
    <x v="9"/>
    <s v="Oct-25"/>
  </r>
  <r>
    <d v="2025-10-24T00:00:00"/>
    <x v="2"/>
    <x v="2"/>
    <x v="4"/>
    <n v="1"/>
    <n v="17287"/>
    <n v="17287"/>
    <x v="9"/>
    <s v="Oct-25"/>
  </r>
  <r>
    <d v="2025-10-24T00:00:00"/>
    <x v="0"/>
    <x v="4"/>
    <x v="6"/>
    <n v="3"/>
    <n v="8228"/>
    <n v="24684"/>
    <x v="9"/>
    <s v="Oct-25"/>
  </r>
  <r>
    <d v="2025-10-24T00:00:00"/>
    <x v="3"/>
    <x v="4"/>
    <x v="1"/>
    <n v="2"/>
    <n v="8316"/>
    <n v="16632"/>
    <x v="9"/>
    <s v="Oct-25"/>
  </r>
  <r>
    <d v="2025-10-25T00:00:00"/>
    <x v="2"/>
    <x v="3"/>
    <x v="2"/>
    <n v="6"/>
    <n v="3405"/>
    <n v="20430"/>
    <x v="9"/>
    <s v="Oct-25"/>
  </r>
  <r>
    <d v="2025-10-25T00:00:00"/>
    <x v="0"/>
    <x v="2"/>
    <x v="2"/>
    <n v="2"/>
    <n v="17526"/>
    <n v="35052"/>
    <x v="9"/>
    <s v="Oct-25"/>
  </r>
  <r>
    <d v="2025-10-25T00:00:00"/>
    <x v="3"/>
    <x v="1"/>
    <x v="3"/>
    <n v="4"/>
    <n v="21061"/>
    <n v="84244"/>
    <x v="9"/>
    <s v="Oct-25"/>
  </r>
  <r>
    <d v="2025-10-25T00:00:00"/>
    <x v="3"/>
    <x v="5"/>
    <x v="3"/>
    <n v="3"/>
    <n v="53438"/>
    <n v="160314"/>
    <x v="9"/>
    <s v="Oct-25"/>
  </r>
  <r>
    <d v="2025-10-25T00:00:00"/>
    <x v="3"/>
    <x v="1"/>
    <x v="3"/>
    <n v="6"/>
    <n v="21200"/>
    <n v="127200"/>
    <x v="9"/>
    <s v="Oct-25"/>
  </r>
  <r>
    <d v="2025-10-26T00:00:00"/>
    <x v="2"/>
    <x v="2"/>
    <x v="2"/>
    <n v="6"/>
    <n v="17328"/>
    <n v="103968"/>
    <x v="9"/>
    <s v="Oct-25"/>
  </r>
  <r>
    <d v="2025-10-26T00:00:00"/>
    <x v="0"/>
    <x v="2"/>
    <x v="6"/>
    <n v="2"/>
    <n v="18632"/>
    <n v="37264"/>
    <x v="9"/>
    <s v="Oct-25"/>
  </r>
  <r>
    <d v="2025-10-26T00:00:00"/>
    <x v="3"/>
    <x v="3"/>
    <x v="6"/>
    <n v="6"/>
    <n v="3401"/>
    <n v="20406"/>
    <x v="9"/>
    <s v="Oct-25"/>
  </r>
  <r>
    <d v="2025-10-27T00:00:00"/>
    <x v="1"/>
    <x v="0"/>
    <x v="6"/>
    <n v="10"/>
    <n v="12564"/>
    <n v="125640"/>
    <x v="9"/>
    <s v="Oct-25"/>
  </r>
  <r>
    <d v="2025-10-27T00:00:00"/>
    <x v="1"/>
    <x v="5"/>
    <x v="3"/>
    <n v="9"/>
    <n v="54940"/>
    <n v="494460"/>
    <x v="9"/>
    <s v="Oct-25"/>
  </r>
  <r>
    <d v="2025-10-27T00:00:00"/>
    <x v="1"/>
    <x v="4"/>
    <x v="4"/>
    <n v="8"/>
    <n v="7823"/>
    <n v="62584"/>
    <x v="9"/>
    <s v="Oct-25"/>
  </r>
  <r>
    <d v="2025-10-27T00:00:00"/>
    <x v="3"/>
    <x v="0"/>
    <x v="2"/>
    <n v="4"/>
    <n v="11792"/>
    <n v="47168"/>
    <x v="9"/>
    <s v="Oct-25"/>
  </r>
  <r>
    <d v="2025-10-28T00:00:00"/>
    <x v="1"/>
    <x v="4"/>
    <x v="6"/>
    <n v="10"/>
    <n v="8318"/>
    <n v="83180"/>
    <x v="9"/>
    <s v="Oct-25"/>
  </r>
  <r>
    <d v="2025-10-28T00:00:00"/>
    <x v="3"/>
    <x v="5"/>
    <x v="7"/>
    <n v="8"/>
    <n v="56284"/>
    <n v="450272"/>
    <x v="9"/>
    <s v="Oct-25"/>
  </r>
  <r>
    <d v="2025-10-28T00:00:00"/>
    <x v="0"/>
    <x v="3"/>
    <x v="3"/>
    <n v="8"/>
    <n v="3608"/>
    <n v="28864"/>
    <x v="9"/>
    <s v="Oct-25"/>
  </r>
  <r>
    <d v="2025-10-28T00:00:00"/>
    <x v="0"/>
    <x v="3"/>
    <x v="4"/>
    <n v="4"/>
    <n v="3354"/>
    <n v="13416"/>
    <x v="9"/>
    <s v="Oct-25"/>
  </r>
  <r>
    <d v="2025-10-28T00:00:00"/>
    <x v="0"/>
    <x v="0"/>
    <x v="3"/>
    <n v="4"/>
    <n v="11559"/>
    <n v="46236"/>
    <x v="9"/>
    <s v="Oct-25"/>
  </r>
  <r>
    <d v="2025-10-28T00:00:00"/>
    <x v="2"/>
    <x v="1"/>
    <x v="1"/>
    <n v="1"/>
    <n v="21955"/>
    <n v="21955"/>
    <x v="9"/>
    <s v="Oct-25"/>
  </r>
  <r>
    <d v="2025-10-29T00:00:00"/>
    <x v="1"/>
    <x v="0"/>
    <x v="4"/>
    <n v="10"/>
    <n v="12296"/>
    <n v="122960"/>
    <x v="9"/>
    <s v="Oct-25"/>
  </r>
  <r>
    <d v="2025-10-29T00:00:00"/>
    <x v="0"/>
    <x v="3"/>
    <x v="4"/>
    <n v="3"/>
    <n v="3630"/>
    <n v="10890"/>
    <x v="9"/>
    <s v="Oct-25"/>
  </r>
  <r>
    <d v="2025-10-29T00:00:00"/>
    <x v="3"/>
    <x v="1"/>
    <x v="5"/>
    <n v="8"/>
    <n v="22448"/>
    <n v="179584"/>
    <x v="9"/>
    <s v="Oct-25"/>
  </r>
  <r>
    <d v="2025-10-29T00:00:00"/>
    <x v="0"/>
    <x v="0"/>
    <x v="1"/>
    <n v="7"/>
    <n v="12472"/>
    <n v="87304"/>
    <x v="9"/>
    <s v="Oct-25"/>
  </r>
  <r>
    <d v="2025-10-30T00:00:00"/>
    <x v="0"/>
    <x v="2"/>
    <x v="3"/>
    <n v="5"/>
    <n v="18356"/>
    <n v="91780"/>
    <x v="9"/>
    <s v="Oct-25"/>
  </r>
  <r>
    <d v="2025-10-30T00:00:00"/>
    <x v="1"/>
    <x v="0"/>
    <x v="1"/>
    <n v="10"/>
    <n v="12457"/>
    <n v="124570"/>
    <x v="9"/>
    <s v="Oct-25"/>
  </r>
  <r>
    <d v="2025-10-30T00:00:00"/>
    <x v="0"/>
    <x v="4"/>
    <x v="5"/>
    <n v="1"/>
    <n v="7688"/>
    <n v="7688"/>
    <x v="9"/>
    <s v="Oct-25"/>
  </r>
  <r>
    <d v="2025-10-30T00:00:00"/>
    <x v="2"/>
    <x v="3"/>
    <x v="7"/>
    <n v="6"/>
    <n v="3453"/>
    <n v="20718"/>
    <x v="9"/>
    <s v="Oct-25"/>
  </r>
  <r>
    <d v="2025-10-31T00:00:00"/>
    <x v="0"/>
    <x v="4"/>
    <x v="2"/>
    <n v="3"/>
    <n v="8385"/>
    <n v="25155"/>
    <x v="9"/>
    <s v="Oct-25"/>
  </r>
  <r>
    <d v="2025-10-31T00:00:00"/>
    <x v="1"/>
    <x v="4"/>
    <x v="1"/>
    <n v="8"/>
    <n v="8189"/>
    <n v="65512"/>
    <x v="9"/>
    <s v="Oct-25"/>
  </r>
  <r>
    <d v="2025-10-31T00:00:00"/>
    <x v="1"/>
    <x v="0"/>
    <x v="2"/>
    <n v="6"/>
    <n v="11823"/>
    <n v="70938"/>
    <x v="9"/>
    <s v="Oct-25"/>
  </r>
  <r>
    <d v="2025-10-31T00:00:00"/>
    <x v="2"/>
    <x v="4"/>
    <x v="3"/>
    <n v="5"/>
    <n v="7643"/>
    <n v="38215"/>
    <x v="9"/>
    <s v="Oct-25"/>
  </r>
  <r>
    <d v="2025-10-31T00:00:00"/>
    <x v="2"/>
    <x v="2"/>
    <x v="4"/>
    <n v="8"/>
    <n v="18002"/>
    <n v="144016"/>
    <x v="9"/>
    <s v="Oct-25"/>
  </r>
  <r>
    <d v="2025-10-31T00:00:00"/>
    <x v="0"/>
    <x v="3"/>
    <x v="0"/>
    <n v="8"/>
    <n v="3542"/>
    <n v="28336"/>
    <x v="9"/>
    <s v="Oct-25"/>
  </r>
  <r>
    <d v="2025-11-01T00:00:00"/>
    <x v="1"/>
    <x v="3"/>
    <x v="1"/>
    <n v="2"/>
    <n v="3461"/>
    <n v="6922"/>
    <x v="10"/>
    <s v="Nov-25"/>
  </r>
  <r>
    <d v="2025-11-01T00:00:00"/>
    <x v="1"/>
    <x v="2"/>
    <x v="1"/>
    <n v="2"/>
    <n v="17396"/>
    <n v="34792"/>
    <x v="10"/>
    <s v="Nov-25"/>
  </r>
  <r>
    <d v="2025-11-02T00:00:00"/>
    <x v="1"/>
    <x v="3"/>
    <x v="6"/>
    <n v="4"/>
    <n v="3507"/>
    <n v="14028"/>
    <x v="10"/>
    <s v="Nov-25"/>
  </r>
  <r>
    <d v="2025-11-02T00:00:00"/>
    <x v="0"/>
    <x v="2"/>
    <x v="3"/>
    <n v="9"/>
    <n v="18777"/>
    <n v="168993"/>
    <x v="10"/>
    <s v="Nov-25"/>
  </r>
  <r>
    <d v="2025-11-03T00:00:00"/>
    <x v="2"/>
    <x v="3"/>
    <x v="4"/>
    <n v="1"/>
    <n v="3427"/>
    <n v="3427"/>
    <x v="10"/>
    <s v="Nov-25"/>
  </r>
  <r>
    <d v="2025-11-03T00:00:00"/>
    <x v="0"/>
    <x v="5"/>
    <x v="2"/>
    <n v="9"/>
    <n v="55795"/>
    <n v="502155"/>
    <x v="10"/>
    <s v="Nov-25"/>
  </r>
  <r>
    <d v="2025-11-03T00:00:00"/>
    <x v="3"/>
    <x v="4"/>
    <x v="5"/>
    <n v="6"/>
    <n v="7988"/>
    <n v="47928"/>
    <x v="10"/>
    <s v="Nov-25"/>
  </r>
  <r>
    <d v="2025-11-03T00:00:00"/>
    <x v="3"/>
    <x v="3"/>
    <x v="0"/>
    <n v="10"/>
    <n v="3371"/>
    <n v="33710"/>
    <x v="10"/>
    <s v="Nov-25"/>
  </r>
  <r>
    <d v="2025-11-03T00:00:00"/>
    <x v="2"/>
    <x v="1"/>
    <x v="0"/>
    <n v="4"/>
    <n v="21965"/>
    <n v="87860"/>
    <x v="10"/>
    <s v="Nov-25"/>
  </r>
  <r>
    <d v="2025-11-04T00:00:00"/>
    <x v="0"/>
    <x v="1"/>
    <x v="5"/>
    <n v="5"/>
    <n v="21903"/>
    <n v="109515"/>
    <x v="10"/>
    <s v="Nov-25"/>
  </r>
  <r>
    <d v="2025-11-04T00:00:00"/>
    <x v="1"/>
    <x v="4"/>
    <x v="6"/>
    <n v="9"/>
    <n v="7828"/>
    <n v="70452"/>
    <x v="10"/>
    <s v="Nov-25"/>
  </r>
  <r>
    <d v="2025-11-04T00:00:00"/>
    <x v="1"/>
    <x v="0"/>
    <x v="6"/>
    <n v="3"/>
    <n v="11685"/>
    <n v="35055"/>
    <x v="10"/>
    <s v="Nov-25"/>
  </r>
  <r>
    <d v="2025-11-04T00:00:00"/>
    <x v="0"/>
    <x v="2"/>
    <x v="6"/>
    <n v="8"/>
    <n v="17568"/>
    <n v="140544"/>
    <x v="10"/>
    <s v="Nov-25"/>
  </r>
  <r>
    <d v="2025-11-05T00:00:00"/>
    <x v="1"/>
    <x v="4"/>
    <x v="7"/>
    <n v="6"/>
    <n v="8382"/>
    <n v="50292"/>
    <x v="10"/>
    <s v="Nov-25"/>
  </r>
  <r>
    <d v="2025-11-05T00:00:00"/>
    <x v="1"/>
    <x v="2"/>
    <x v="4"/>
    <n v="9"/>
    <n v="18855"/>
    <n v="169695"/>
    <x v="10"/>
    <s v="Nov-25"/>
  </r>
  <r>
    <d v="2025-11-05T00:00:00"/>
    <x v="2"/>
    <x v="5"/>
    <x v="7"/>
    <n v="7"/>
    <n v="57370"/>
    <n v="401590"/>
    <x v="10"/>
    <s v="Nov-25"/>
  </r>
  <r>
    <d v="2025-11-06T00:00:00"/>
    <x v="3"/>
    <x v="2"/>
    <x v="6"/>
    <n v="1"/>
    <n v="18846"/>
    <n v="18846"/>
    <x v="10"/>
    <s v="Nov-25"/>
  </r>
  <r>
    <d v="2025-11-06T00:00:00"/>
    <x v="2"/>
    <x v="0"/>
    <x v="0"/>
    <n v="8"/>
    <n v="12475"/>
    <n v="99800"/>
    <x v="10"/>
    <s v="Nov-25"/>
  </r>
  <r>
    <d v="2025-11-06T00:00:00"/>
    <x v="1"/>
    <x v="4"/>
    <x v="4"/>
    <n v="6"/>
    <n v="8151"/>
    <n v="48906"/>
    <x v="10"/>
    <s v="Nov-25"/>
  </r>
  <r>
    <d v="2025-11-07T00:00:00"/>
    <x v="0"/>
    <x v="1"/>
    <x v="1"/>
    <n v="5"/>
    <n v="20954"/>
    <n v="104770"/>
    <x v="10"/>
    <s v="Nov-25"/>
  </r>
  <r>
    <d v="2025-11-07T00:00:00"/>
    <x v="1"/>
    <x v="3"/>
    <x v="5"/>
    <n v="2"/>
    <n v="3439"/>
    <n v="6878"/>
    <x v="10"/>
    <s v="Nov-25"/>
  </r>
  <r>
    <d v="2025-11-07T00:00:00"/>
    <x v="1"/>
    <x v="4"/>
    <x v="2"/>
    <n v="5"/>
    <n v="7756"/>
    <n v="38780"/>
    <x v="10"/>
    <s v="Nov-25"/>
  </r>
  <r>
    <d v="2025-11-07T00:00:00"/>
    <x v="0"/>
    <x v="4"/>
    <x v="4"/>
    <n v="2"/>
    <n v="8380"/>
    <n v="16760"/>
    <x v="10"/>
    <s v="Nov-25"/>
  </r>
  <r>
    <d v="2025-11-07T00:00:00"/>
    <x v="3"/>
    <x v="1"/>
    <x v="4"/>
    <n v="6"/>
    <n v="22226"/>
    <n v="133356"/>
    <x v="10"/>
    <s v="Nov-25"/>
  </r>
  <r>
    <d v="2025-11-08T00:00:00"/>
    <x v="0"/>
    <x v="0"/>
    <x v="5"/>
    <n v="7"/>
    <n v="11577"/>
    <n v="81039"/>
    <x v="10"/>
    <s v="Nov-25"/>
  </r>
  <r>
    <d v="2025-11-08T00:00:00"/>
    <x v="3"/>
    <x v="2"/>
    <x v="3"/>
    <n v="6"/>
    <n v="17121"/>
    <n v="102726"/>
    <x v="10"/>
    <s v="Nov-25"/>
  </r>
  <r>
    <d v="2025-11-08T00:00:00"/>
    <x v="2"/>
    <x v="2"/>
    <x v="0"/>
    <n v="8"/>
    <n v="18673"/>
    <n v="149384"/>
    <x v="10"/>
    <s v="Nov-25"/>
  </r>
  <r>
    <d v="2025-11-08T00:00:00"/>
    <x v="0"/>
    <x v="1"/>
    <x v="4"/>
    <n v="7"/>
    <n v="22668"/>
    <n v="158676"/>
    <x v="10"/>
    <s v="Nov-25"/>
  </r>
  <r>
    <d v="2025-11-08T00:00:00"/>
    <x v="2"/>
    <x v="1"/>
    <x v="3"/>
    <n v="7"/>
    <n v="21207"/>
    <n v="148449"/>
    <x v="10"/>
    <s v="Nov-25"/>
  </r>
  <r>
    <d v="2025-11-08T00:00:00"/>
    <x v="0"/>
    <x v="1"/>
    <x v="2"/>
    <n v="5"/>
    <n v="21944"/>
    <n v="109720"/>
    <x v="10"/>
    <s v="Nov-25"/>
  </r>
  <r>
    <d v="2025-11-09T00:00:00"/>
    <x v="2"/>
    <x v="5"/>
    <x v="3"/>
    <n v="2"/>
    <n v="52286"/>
    <n v="104572"/>
    <x v="10"/>
    <s v="Nov-25"/>
  </r>
  <r>
    <d v="2025-11-09T00:00:00"/>
    <x v="2"/>
    <x v="3"/>
    <x v="6"/>
    <n v="9"/>
    <n v="3486"/>
    <n v="31374"/>
    <x v="10"/>
    <s v="Nov-25"/>
  </r>
  <r>
    <d v="2025-11-09T00:00:00"/>
    <x v="1"/>
    <x v="1"/>
    <x v="6"/>
    <n v="7"/>
    <n v="21536"/>
    <n v="150752"/>
    <x v="10"/>
    <s v="Nov-25"/>
  </r>
  <r>
    <d v="2025-11-09T00:00:00"/>
    <x v="3"/>
    <x v="5"/>
    <x v="0"/>
    <n v="10"/>
    <n v="53921"/>
    <n v="539210"/>
    <x v="10"/>
    <s v="Nov-25"/>
  </r>
  <r>
    <d v="2025-11-09T00:00:00"/>
    <x v="3"/>
    <x v="1"/>
    <x v="7"/>
    <n v="1"/>
    <n v="21238"/>
    <n v="21238"/>
    <x v="10"/>
    <s v="Nov-25"/>
  </r>
  <r>
    <d v="2025-11-09T00:00:00"/>
    <x v="2"/>
    <x v="0"/>
    <x v="4"/>
    <n v="2"/>
    <n v="12184"/>
    <n v="24368"/>
    <x v="10"/>
    <s v="Nov-25"/>
  </r>
  <r>
    <d v="2025-11-10T00:00:00"/>
    <x v="3"/>
    <x v="1"/>
    <x v="4"/>
    <n v="4"/>
    <n v="20962"/>
    <n v="83848"/>
    <x v="10"/>
    <s v="Nov-25"/>
  </r>
  <r>
    <d v="2025-11-10T00:00:00"/>
    <x v="2"/>
    <x v="3"/>
    <x v="1"/>
    <n v="10"/>
    <n v="3585"/>
    <n v="35850"/>
    <x v="10"/>
    <s v="Nov-25"/>
  </r>
  <r>
    <d v="2025-11-10T00:00:00"/>
    <x v="3"/>
    <x v="4"/>
    <x v="3"/>
    <n v="5"/>
    <n v="8102"/>
    <n v="40510"/>
    <x v="10"/>
    <s v="Nov-25"/>
  </r>
  <r>
    <d v="2025-11-10T00:00:00"/>
    <x v="3"/>
    <x v="0"/>
    <x v="1"/>
    <n v="6"/>
    <n v="12015"/>
    <n v="72090"/>
    <x v="10"/>
    <s v="Nov-25"/>
  </r>
  <r>
    <d v="2025-11-11T00:00:00"/>
    <x v="0"/>
    <x v="2"/>
    <x v="6"/>
    <n v="10"/>
    <n v="17205"/>
    <n v="172050"/>
    <x v="10"/>
    <s v="Nov-25"/>
  </r>
  <r>
    <d v="2025-11-11T00:00:00"/>
    <x v="2"/>
    <x v="3"/>
    <x v="6"/>
    <n v="6"/>
    <n v="3382"/>
    <n v="20292"/>
    <x v="10"/>
    <s v="Nov-25"/>
  </r>
  <r>
    <d v="2025-11-11T00:00:00"/>
    <x v="2"/>
    <x v="2"/>
    <x v="3"/>
    <n v="6"/>
    <n v="17187"/>
    <n v="103122"/>
    <x v="10"/>
    <s v="Nov-25"/>
  </r>
  <r>
    <d v="2025-11-11T00:00:00"/>
    <x v="2"/>
    <x v="4"/>
    <x v="1"/>
    <n v="9"/>
    <n v="7755"/>
    <n v="69795"/>
    <x v="10"/>
    <s v="Nov-25"/>
  </r>
  <r>
    <d v="2025-11-11T00:00:00"/>
    <x v="1"/>
    <x v="5"/>
    <x v="6"/>
    <n v="9"/>
    <n v="54024"/>
    <n v="486216"/>
    <x v="10"/>
    <s v="Nov-25"/>
  </r>
  <r>
    <d v="2025-11-11T00:00:00"/>
    <x v="2"/>
    <x v="0"/>
    <x v="0"/>
    <n v="5"/>
    <n v="12222"/>
    <n v="61110"/>
    <x v="10"/>
    <s v="Nov-25"/>
  </r>
  <r>
    <d v="2025-11-12T00:00:00"/>
    <x v="0"/>
    <x v="4"/>
    <x v="5"/>
    <n v="3"/>
    <n v="7610"/>
    <n v="22830"/>
    <x v="10"/>
    <s v="Nov-25"/>
  </r>
  <r>
    <d v="2025-11-12T00:00:00"/>
    <x v="2"/>
    <x v="2"/>
    <x v="4"/>
    <n v="7"/>
    <n v="17712"/>
    <n v="123984"/>
    <x v="10"/>
    <s v="Nov-25"/>
  </r>
  <r>
    <d v="2025-11-12T00:00:00"/>
    <x v="1"/>
    <x v="5"/>
    <x v="2"/>
    <n v="3"/>
    <n v="55018"/>
    <n v="165054"/>
    <x v="10"/>
    <s v="Nov-25"/>
  </r>
  <r>
    <d v="2025-11-12T00:00:00"/>
    <x v="1"/>
    <x v="4"/>
    <x v="1"/>
    <n v="7"/>
    <n v="7968"/>
    <n v="55776"/>
    <x v="10"/>
    <s v="Nov-25"/>
  </r>
  <r>
    <d v="2025-11-13T00:00:00"/>
    <x v="0"/>
    <x v="1"/>
    <x v="7"/>
    <n v="8"/>
    <n v="21666"/>
    <n v="173328"/>
    <x v="10"/>
    <s v="Nov-25"/>
  </r>
  <r>
    <d v="2025-11-13T00:00:00"/>
    <x v="2"/>
    <x v="1"/>
    <x v="4"/>
    <n v="10"/>
    <n v="22050"/>
    <n v="220500"/>
    <x v="10"/>
    <s v="Nov-25"/>
  </r>
  <r>
    <d v="2025-11-14T00:00:00"/>
    <x v="1"/>
    <x v="0"/>
    <x v="0"/>
    <n v="1"/>
    <n v="12293"/>
    <n v="12293"/>
    <x v="10"/>
    <s v="Nov-25"/>
  </r>
  <r>
    <d v="2025-11-14T00:00:00"/>
    <x v="0"/>
    <x v="1"/>
    <x v="6"/>
    <n v="3"/>
    <n v="22413"/>
    <n v="67239"/>
    <x v="10"/>
    <s v="Nov-25"/>
  </r>
  <r>
    <d v="2025-11-14T00:00:00"/>
    <x v="2"/>
    <x v="1"/>
    <x v="2"/>
    <n v="3"/>
    <n v="23058"/>
    <n v="69174"/>
    <x v="10"/>
    <s v="Nov-25"/>
  </r>
  <r>
    <d v="2025-11-14T00:00:00"/>
    <x v="3"/>
    <x v="0"/>
    <x v="1"/>
    <n v="2"/>
    <n v="11422"/>
    <n v="22844"/>
    <x v="10"/>
    <s v="Nov-25"/>
  </r>
  <r>
    <d v="2025-11-15T00:00:00"/>
    <x v="3"/>
    <x v="5"/>
    <x v="2"/>
    <n v="2"/>
    <n v="52430"/>
    <n v="104860"/>
    <x v="10"/>
    <s v="Nov-25"/>
  </r>
  <r>
    <d v="2025-11-15T00:00:00"/>
    <x v="0"/>
    <x v="3"/>
    <x v="1"/>
    <n v="5"/>
    <n v="3340"/>
    <n v="16700"/>
    <x v="10"/>
    <s v="Nov-25"/>
  </r>
  <r>
    <d v="2025-11-15T00:00:00"/>
    <x v="2"/>
    <x v="0"/>
    <x v="7"/>
    <n v="2"/>
    <n v="12338"/>
    <n v="24676"/>
    <x v="10"/>
    <s v="Nov-25"/>
  </r>
  <r>
    <d v="2025-11-15T00:00:00"/>
    <x v="1"/>
    <x v="4"/>
    <x v="2"/>
    <n v="3"/>
    <n v="8136"/>
    <n v="24408"/>
    <x v="10"/>
    <s v="Nov-25"/>
  </r>
  <r>
    <d v="2025-11-15T00:00:00"/>
    <x v="0"/>
    <x v="5"/>
    <x v="6"/>
    <n v="5"/>
    <n v="57468"/>
    <n v="287340"/>
    <x v="10"/>
    <s v="Nov-25"/>
  </r>
  <r>
    <d v="2025-11-16T00:00:00"/>
    <x v="2"/>
    <x v="1"/>
    <x v="2"/>
    <n v="9"/>
    <n v="22154"/>
    <n v="199386"/>
    <x v="10"/>
    <s v="Nov-25"/>
  </r>
  <r>
    <d v="2025-11-16T00:00:00"/>
    <x v="0"/>
    <x v="4"/>
    <x v="7"/>
    <n v="9"/>
    <n v="7773"/>
    <n v="69957"/>
    <x v="10"/>
    <s v="Nov-25"/>
  </r>
  <r>
    <d v="2025-11-16T00:00:00"/>
    <x v="1"/>
    <x v="2"/>
    <x v="6"/>
    <n v="9"/>
    <n v="17107"/>
    <n v="153963"/>
    <x v="10"/>
    <s v="Nov-25"/>
  </r>
  <r>
    <d v="2025-11-16T00:00:00"/>
    <x v="0"/>
    <x v="1"/>
    <x v="4"/>
    <n v="6"/>
    <n v="22435"/>
    <n v="134610"/>
    <x v="10"/>
    <s v="Nov-25"/>
  </r>
  <r>
    <d v="2025-11-17T00:00:00"/>
    <x v="3"/>
    <x v="0"/>
    <x v="1"/>
    <n v="3"/>
    <n v="12401"/>
    <n v="37203"/>
    <x v="10"/>
    <s v="Nov-25"/>
  </r>
  <r>
    <d v="2025-11-17T00:00:00"/>
    <x v="3"/>
    <x v="3"/>
    <x v="2"/>
    <n v="9"/>
    <n v="3404"/>
    <n v="30636"/>
    <x v="10"/>
    <s v="Nov-25"/>
  </r>
  <r>
    <d v="2025-11-17T00:00:00"/>
    <x v="0"/>
    <x v="2"/>
    <x v="1"/>
    <n v="8"/>
    <n v="17298"/>
    <n v="138384"/>
    <x v="10"/>
    <s v="Nov-25"/>
  </r>
  <r>
    <d v="2025-11-18T00:00:00"/>
    <x v="3"/>
    <x v="2"/>
    <x v="0"/>
    <n v="9"/>
    <n v="18399"/>
    <n v="165591"/>
    <x v="10"/>
    <s v="Nov-25"/>
  </r>
  <r>
    <d v="2025-11-18T00:00:00"/>
    <x v="0"/>
    <x v="2"/>
    <x v="4"/>
    <n v="2"/>
    <n v="17792"/>
    <n v="35584"/>
    <x v="10"/>
    <s v="Nov-25"/>
  </r>
  <r>
    <d v="2025-11-18T00:00:00"/>
    <x v="3"/>
    <x v="4"/>
    <x v="0"/>
    <n v="8"/>
    <n v="7780"/>
    <n v="62240"/>
    <x v="10"/>
    <s v="Nov-25"/>
  </r>
  <r>
    <d v="2025-11-19T00:00:00"/>
    <x v="2"/>
    <x v="3"/>
    <x v="2"/>
    <n v="2"/>
    <n v="3638"/>
    <n v="7276"/>
    <x v="10"/>
    <s v="Nov-25"/>
  </r>
  <r>
    <d v="2025-11-19T00:00:00"/>
    <x v="3"/>
    <x v="0"/>
    <x v="5"/>
    <n v="3"/>
    <n v="11415"/>
    <n v="34245"/>
    <x v="10"/>
    <s v="Nov-25"/>
  </r>
  <r>
    <d v="2025-11-19T00:00:00"/>
    <x v="3"/>
    <x v="0"/>
    <x v="1"/>
    <n v="7"/>
    <n v="11925"/>
    <n v="83475"/>
    <x v="10"/>
    <s v="Nov-25"/>
  </r>
  <r>
    <d v="2025-11-19T00:00:00"/>
    <x v="0"/>
    <x v="5"/>
    <x v="6"/>
    <n v="7"/>
    <n v="54453"/>
    <n v="381171"/>
    <x v="10"/>
    <s v="Nov-25"/>
  </r>
  <r>
    <d v="2025-11-19T00:00:00"/>
    <x v="0"/>
    <x v="0"/>
    <x v="6"/>
    <n v="2"/>
    <n v="11836"/>
    <n v="23672"/>
    <x v="10"/>
    <s v="Nov-25"/>
  </r>
  <r>
    <d v="2025-11-20T00:00:00"/>
    <x v="2"/>
    <x v="1"/>
    <x v="3"/>
    <n v="2"/>
    <n v="21412"/>
    <n v="42824"/>
    <x v="10"/>
    <s v="Nov-25"/>
  </r>
  <r>
    <d v="2025-11-20T00:00:00"/>
    <x v="3"/>
    <x v="0"/>
    <x v="4"/>
    <n v="5"/>
    <n v="12317"/>
    <n v="61585"/>
    <x v="10"/>
    <s v="Nov-25"/>
  </r>
  <r>
    <d v="2025-11-20T00:00:00"/>
    <x v="2"/>
    <x v="0"/>
    <x v="3"/>
    <n v="6"/>
    <n v="11970"/>
    <n v="71820"/>
    <x v="10"/>
    <s v="Nov-25"/>
  </r>
  <r>
    <d v="2025-11-21T00:00:00"/>
    <x v="3"/>
    <x v="3"/>
    <x v="0"/>
    <n v="3"/>
    <n v="3593"/>
    <n v="10779"/>
    <x v="10"/>
    <s v="Nov-25"/>
  </r>
  <r>
    <d v="2025-11-21T00:00:00"/>
    <x v="0"/>
    <x v="5"/>
    <x v="0"/>
    <n v="8"/>
    <n v="54985"/>
    <n v="439880"/>
    <x v="10"/>
    <s v="Nov-25"/>
  </r>
  <r>
    <d v="2025-11-21T00:00:00"/>
    <x v="1"/>
    <x v="5"/>
    <x v="1"/>
    <n v="1"/>
    <n v="56816"/>
    <n v="56816"/>
    <x v="10"/>
    <s v="Nov-25"/>
  </r>
  <r>
    <d v="2025-11-21T00:00:00"/>
    <x v="3"/>
    <x v="0"/>
    <x v="7"/>
    <n v="3"/>
    <n v="11859"/>
    <n v="35577"/>
    <x v="10"/>
    <s v="Nov-25"/>
  </r>
  <r>
    <d v="2025-11-21T00:00:00"/>
    <x v="2"/>
    <x v="1"/>
    <x v="0"/>
    <n v="10"/>
    <n v="22271"/>
    <n v="222710"/>
    <x v="10"/>
    <s v="Nov-25"/>
  </r>
  <r>
    <d v="2025-11-21T00:00:00"/>
    <x v="0"/>
    <x v="0"/>
    <x v="4"/>
    <n v="8"/>
    <n v="11642"/>
    <n v="93136"/>
    <x v="10"/>
    <s v="Nov-25"/>
  </r>
  <r>
    <d v="2025-11-22T00:00:00"/>
    <x v="3"/>
    <x v="4"/>
    <x v="0"/>
    <n v="9"/>
    <n v="7874"/>
    <n v="70866"/>
    <x v="10"/>
    <s v="Nov-25"/>
  </r>
  <r>
    <d v="2025-11-22T00:00:00"/>
    <x v="0"/>
    <x v="5"/>
    <x v="3"/>
    <n v="2"/>
    <n v="54359"/>
    <n v="108718"/>
    <x v="10"/>
    <s v="Nov-25"/>
  </r>
  <r>
    <d v="2025-11-22T00:00:00"/>
    <x v="2"/>
    <x v="3"/>
    <x v="4"/>
    <n v="8"/>
    <n v="3337"/>
    <n v="26696"/>
    <x v="10"/>
    <s v="Nov-25"/>
  </r>
  <r>
    <d v="2025-11-22T00:00:00"/>
    <x v="1"/>
    <x v="4"/>
    <x v="0"/>
    <n v="3"/>
    <n v="7993"/>
    <n v="23979"/>
    <x v="10"/>
    <s v="Nov-25"/>
  </r>
  <r>
    <d v="2025-11-22T00:00:00"/>
    <x v="1"/>
    <x v="2"/>
    <x v="3"/>
    <n v="8"/>
    <n v="18475"/>
    <n v="147800"/>
    <x v="10"/>
    <s v="Nov-25"/>
  </r>
  <r>
    <d v="2025-11-23T00:00:00"/>
    <x v="3"/>
    <x v="0"/>
    <x v="4"/>
    <n v="8"/>
    <n v="12074"/>
    <n v="96592"/>
    <x v="10"/>
    <s v="Nov-25"/>
  </r>
  <r>
    <d v="2025-11-23T00:00:00"/>
    <x v="1"/>
    <x v="4"/>
    <x v="7"/>
    <n v="7"/>
    <n v="7810"/>
    <n v="54670"/>
    <x v="10"/>
    <s v="Nov-25"/>
  </r>
  <r>
    <d v="2025-11-23T00:00:00"/>
    <x v="3"/>
    <x v="4"/>
    <x v="5"/>
    <n v="5"/>
    <n v="7856"/>
    <n v="39280"/>
    <x v="10"/>
    <s v="Nov-25"/>
  </r>
  <r>
    <d v="2025-11-23T00:00:00"/>
    <x v="0"/>
    <x v="4"/>
    <x v="7"/>
    <n v="3"/>
    <n v="8269"/>
    <n v="24807"/>
    <x v="10"/>
    <s v="Nov-25"/>
  </r>
  <r>
    <d v="2025-11-23T00:00:00"/>
    <x v="2"/>
    <x v="0"/>
    <x v="7"/>
    <n v="6"/>
    <n v="11856"/>
    <n v="71136"/>
    <x v="10"/>
    <s v="Nov-25"/>
  </r>
  <r>
    <d v="2025-11-23T00:00:00"/>
    <x v="3"/>
    <x v="2"/>
    <x v="5"/>
    <n v="7"/>
    <n v="17732"/>
    <n v="124124"/>
    <x v="10"/>
    <s v="Nov-25"/>
  </r>
  <r>
    <d v="2025-11-24T00:00:00"/>
    <x v="1"/>
    <x v="1"/>
    <x v="0"/>
    <n v="10"/>
    <n v="21086"/>
    <n v="210860"/>
    <x v="10"/>
    <s v="Nov-25"/>
  </r>
  <r>
    <d v="2025-11-24T00:00:00"/>
    <x v="0"/>
    <x v="2"/>
    <x v="1"/>
    <n v="6"/>
    <n v="17405"/>
    <n v="104430"/>
    <x v="10"/>
    <s v="Nov-25"/>
  </r>
  <r>
    <d v="2025-11-24T00:00:00"/>
    <x v="2"/>
    <x v="5"/>
    <x v="4"/>
    <n v="7"/>
    <n v="55374"/>
    <n v="387618"/>
    <x v="10"/>
    <s v="Nov-25"/>
  </r>
  <r>
    <d v="2025-11-25T00:00:00"/>
    <x v="2"/>
    <x v="5"/>
    <x v="4"/>
    <n v="10"/>
    <n v="52372"/>
    <n v="523720"/>
    <x v="10"/>
    <s v="Nov-25"/>
  </r>
  <r>
    <d v="2025-11-25T00:00:00"/>
    <x v="2"/>
    <x v="3"/>
    <x v="3"/>
    <n v="6"/>
    <n v="3525"/>
    <n v="21150"/>
    <x v="10"/>
    <s v="Nov-25"/>
  </r>
  <r>
    <d v="2025-11-25T00:00:00"/>
    <x v="3"/>
    <x v="5"/>
    <x v="2"/>
    <n v="6"/>
    <n v="54982"/>
    <n v="329892"/>
    <x v="10"/>
    <s v="Nov-25"/>
  </r>
  <r>
    <d v="2025-11-25T00:00:00"/>
    <x v="2"/>
    <x v="1"/>
    <x v="0"/>
    <n v="6"/>
    <n v="23032"/>
    <n v="138192"/>
    <x v="10"/>
    <s v="Nov-25"/>
  </r>
  <r>
    <d v="2025-11-25T00:00:00"/>
    <x v="1"/>
    <x v="3"/>
    <x v="1"/>
    <n v="9"/>
    <n v="3399"/>
    <n v="30591"/>
    <x v="10"/>
    <s v="Nov-25"/>
  </r>
  <r>
    <d v="2025-11-26T00:00:00"/>
    <x v="0"/>
    <x v="2"/>
    <x v="3"/>
    <n v="4"/>
    <n v="18224"/>
    <n v="72896"/>
    <x v="10"/>
    <s v="Nov-25"/>
  </r>
  <r>
    <d v="2025-11-26T00:00:00"/>
    <x v="0"/>
    <x v="0"/>
    <x v="1"/>
    <n v="10"/>
    <n v="11804"/>
    <n v="118040"/>
    <x v="10"/>
    <s v="Nov-25"/>
  </r>
  <r>
    <d v="2025-11-26T00:00:00"/>
    <x v="0"/>
    <x v="4"/>
    <x v="4"/>
    <n v="7"/>
    <n v="7767"/>
    <n v="54369"/>
    <x v="10"/>
    <s v="Nov-25"/>
  </r>
  <r>
    <d v="2025-11-26T00:00:00"/>
    <x v="0"/>
    <x v="0"/>
    <x v="0"/>
    <n v="9"/>
    <n v="12364"/>
    <n v="111276"/>
    <x v="10"/>
    <s v="Nov-25"/>
  </r>
  <r>
    <d v="2025-11-27T00:00:00"/>
    <x v="2"/>
    <x v="1"/>
    <x v="3"/>
    <n v="7"/>
    <n v="21452"/>
    <n v="150164"/>
    <x v="10"/>
    <s v="Nov-25"/>
  </r>
  <r>
    <d v="2025-11-27T00:00:00"/>
    <x v="3"/>
    <x v="0"/>
    <x v="6"/>
    <n v="1"/>
    <n v="12153"/>
    <n v="12153"/>
    <x v="10"/>
    <s v="Nov-25"/>
  </r>
  <r>
    <d v="2025-11-27T00:00:00"/>
    <x v="1"/>
    <x v="4"/>
    <x v="4"/>
    <n v="4"/>
    <n v="8128"/>
    <n v="32512"/>
    <x v="10"/>
    <s v="Nov-25"/>
  </r>
  <r>
    <d v="2025-11-27T00:00:00"/>
    <x v="3"/>
    <x v="2"/>
    <x v="3"/>
    <n v="10"/>
    <n v="18407"/>
    <n v="184070"/>
    <x v="10"/>
    <s v="Nov-25"/>
  </r>
  <r>
    <d v="2025-11-27T00:00:00"/>
    <x v="0"/>
    <x v="4"/>
    <x v="2"/>
    <n v="6"/>
    <n v="7969"/>
    <n v="47814"/>
    <x v="10"/>
    <s v="Nov-25"/>
  </r>
  <r>
    <d v="2025-11-28T00:00:00"/>
    <x v="1"/>
    <x v="0"/>
    <x v="0"/>
    <n v="7"/>
    <n v="11892"/>
    <n v="83244"/>
    <x v="10"/>
    <s v="Nov-25"/>
  </r>
  <r>
    <d v="2025-11-28T00:00:00"/>
    <x v="0"/>
    <x v="0"/>
    <x v="2"/>
    <n v="7"/>
    <n v="11720"/>
    <n v="82040"/>
    <x v="10"/>
    <s v="Nov-25"/>
  </r>
  <r>
    <d v="2025-11-28T00:00:00"/>
    <x v="2"/>
    <x v="0"/>
    <x v="6"/>
    <n v="5"/>
    <n v="12224"/>
    <n v="61120"/>
    <x v="10"/>
    <s v="Nov-25"/>
  </r>
  <r>
    <d v="2025-11-29T00:00:00"/>
    <x v="3"/>
    <x v="1"/>
    <x v="1"/>
    <n v="3"/>
    <n v="21322"/>
    <n v="63966"/>
    <x v="10"/>
    <s v="Nov-25"/>
  </r>
  <r>
    <d v="2025-11-29T00:00:00"/>
    <x v="1"/>
    <x v="2"/>
    <x v="4"/>
    <n v="8"/>
    <n v="18107"/>
    <n v="144856"/>
    <x v="10"/>
    <s v="Nov-25"/>
  </r>
  <r>
    <d v="2025-11-29T00:00:00"/>
    <x v="3"/>
    <x v="3"/>
    <x v="7"/>
    <n v="4"/>
    <n v="3380"/>
    <n v="13520"/>
    <x v="10"/>
    <s v="Nov-25"/>
  </r>
  <r>
    <d v="2025-11-30T00:00:00"/>
    <x v="0"/>
    <x v="2"/>
    <x v="0"/>
    <n v="9"/>
    <n v="17416"/>
    <n v="156744"/>
    <x v="10"/>
    <s v="Nov-25"/>
  </r>
  <r>
    <d v="2025-11-30T00:00:00"/>
    <x v="0"/>
    <x v="0"/>
    <x v="4"/>
    <n v="1"/>
    <n v="11466"/>
    <n v="11466"/>
    <x v="10"/>
    <s v="Nov-25"/>
  </r>
  <r>
    <d v="2025-11-30T00:00:00"/>
    <x v="0"/>
    <x v="2"/>
    <x v="0"/>
    <n v="2"/>
    <n v="18721"/>
    <n v="37442"/>
    <x v="10"/>
    <s v="Nov-25"/>
  </r>
  <r>
    <d v="2025-12-01T00:00:00"/>
    <x v="2"/>
    <x v="0"/>
    <x v="1"/>
    <n v="7"/>
    <n v="12531"/>
    <n v="87717"/>
    <x v="11"/>
    <s v="Dec-25"/>
  </r>
  <r>
    <d v="2025-12-01T00:00:00"/>
    <x v="1"/>
    <x v="1"/>
    <x v="1"/>
    <n v="10"/>
    <n v="22515"/>
    <n v="225150"/>
    <x v="11"/>
    <s v="Dec-25"/>
  </r>
  <r>
    <d v="2025-12-01T00:00:00"/>
    <x v="0"/>
    <x v="4"/>
    <x v="0"/>
    <n v="8"/>
    <n v="8307"/>
    <n v="66456"/>
    <x v="11"/>
    <s v="Dec-25"/>
  </r>
  <r>
    <d v="2025-12-01T00:00:00"/>
    <x v="1"/>
    <x v="4"/>
    <x v="1"/>
    <n v="6"/>
    <n v="7863"/>
    <n v="47178"/>
    <x v="11"/>
    <s v="Dec-25"/>
  </r>
  <r>
    <d v="2025-12-01T00:00:00"/>
    <x v="3"/>
    <x v="0"/>
    <x v="2"/>
    <n v="7"/>
    <n v="11661"/>
    <n v="81627"/>
    <x v="11"/>
    <s v="Dec-25"/>
  </r>
  <r>
    <d v="2025-12-02T00:00:00"/>
    <x v="1"/>
    <x v="1"/>
    <x v="0"/>
    <n v="8"/>
    <n v="21798"/>
    <n v="174384"/>
    <x v="11"/>
    <s v="Dec-25"/>
  </r>
  <r>
    <d v="2025-12-02T00:00:00"/>
    <x v="0"/>
    <x v="3"/>
    <x v="5"/>
    <n v="2"/>
    <n v="3435"/>
    <n v="6870"/>
    <x v="11"/>
    <s v="Dec-25"/>
  </r>
  <r>
    <d v="2025-12-03T00:00:00"/>
    <x v="3"/>
    <x v="0"/>
    <x v="2"/>
    <n v="5"/>
    <n v="12455"/>
    <n v="62275"/>
    <x v="11"/>
    <s v="Dec-25"/>
  </r>
  <r>
    <d v="2025-12-03T00:00:00"/>
    <x v="1"/>
    <x v="2"/>
    <x v="4"/>
    <n v="6"/>
    <n v="18578"/>
    <n v="111468"/>
    <x v="11"/>
    <s v="Dec-25"/>
  </r>
  <r>
    <d v="2025-12-03T00:00:00"/>
    <x v="0"/>
    <x v="0"/>
    <x v="7"/>
    <n v="1"/>
    <n v="12228"/>
    <n v="12228"/>
    <x v="11"/>
    <s v="Dec-25"/>
  </r>
  <r>
    <d v="2025-12-03T00:00:00"/>
    <x v="1"/>
    <x v="2"/>
    <x v="3"/>
    <n v="5"/>
    <n v="18250"/>
    <n v="91250"/>
    <x v="11"/>
    <s v="Dec-25"/>
  </r>
  <r>
    <d v="2025-12-03T00:00:00"/>
    <x v="2"/>
    <x v="0"/>
    <x v="1"/>
    <n v="9"/>
    <n v="12440"/>
    <n v="111960"/>
    <x v="11"/>
    <s v="Dec-25"/>
  </r>
  <r>
    <d v="2025-12-04T00:00:00"/>
    <x v="3"/>
    <x v="5"/>
    <x v="3"/>
    <n v="5"/>
    <n v="53904"/>
    <n v="269520"/>
    <x v="11"/>
    <s v="Dec-25"/>
  </r>
  <r>
    <d v="2025-12-04T00:00:00"/>
    <x v="1"/>
    <x v="2"/>
    <x v="2"/>
    <n v="3"/>
    <n v="18748"/>
    <n v="56244"/>
    <x v="11"/>
    <s v="Dec-25"/>
  </r>
  <r>
    <d v="2025-12-04T00:00:00"/>
    <x v="2"/>
    <x v="0"/>
    <x v="3"/>
    <n v="1"/>
    <n v="11728"/>
    <n v="11728"/>
    <x v="11"/>
    <s v="Dec-25"/>
  </r>
  <r>
    <d v="2025-12-04T00:00:00"/>
    <x v="0"/>
    <x v="3"/>
    <x v="4"/>
    <n v="7"/>
    <n v="3649"/>
    <n v="25543"/>
    <x v="11"/>
    <s v="Dec-25"/>
  </r>
  <r>
    <d v="2025-12-04T00:00:00"/>
    <x v="2"/>
    <x v="0"/>
    <x v="3"/>
    <n v="2"/>
    <n v="12389"/>
    <n v="24778"/>
    <x v="11"/>
    <s v="Dec-25"/>
  </r>
  <r>
    <d v="2025-12-05T00:00:00"/>
    <x v="0"/>
    <x v="2"/>
    <x v="3"/>
    <n v="10"/>
    <n v="18412"/>
    <n v="184120"/>
    <x v="11"/>
    <s v="Dec-25"/>
  </r>
  <r>
    <d v="2025-12-05T00:00:00"/>
    <x v="2"/>
    <x v="3"/>
    <x v="7"/>
    <n v="1"/>
    <n v="3549"/>
    <n v="3549"/>
    <x v="11"/>
    <s v="Dec-25"/>
  </r>
  <r>
    <d v="2025-12-05T00:00:00"/>
    <x v="1"/>
    <x v="0"/>
    <x v="4"/>
    <n v="3"/>
    <n v="11403"/>
    <n v="34209"/>
    <x v="11"/>
    <s v="Dec-25"/>
  </r>
  <r>
    <d v="2025-12-05T00:00:00"/>
    <x v="1"/>
    <x v="0"/>
    <x v="0"/>
    <n v="6"/>
    <n v="12090"/>
    <n v="72540"/>
    <x v="11"/>
    <s v="Dec-25"/>
  </r>
  <r>
    <d v="2025-12-06T00:00:00"/>
    <x v="1"/>
    <x v="1"/>
    <x v="6"/>
    <n v="10"/>
    <n v="22408"/>
    <n v="224080"/>
    <x v="11"/>
    <s v="Dec-25"/>
  </r>
  <r>
    <d v="2025-12-06T00:00:00"/>
    <x v="2"/>
    <x v="3"/>
    <x v="4"/>
    <n v="3"/>
    <n v="3416"/>
    <n v="10248"/>
    <x v="11"/>
    <s v="Dec-25"/>
  </r>
  <r>
    <d v="2025-12-07T00:00:00"/>
    <x v="2"/>
    <x v="2"/>
    <x v="2"/>
    <n v="2"/>
    <n v="17846"/>
    <n v="35692"/>
    <x v="11"/>
    <s v="Dec-25"/>
  </r>
  <r>
    <d v="2025-12-07T00:00:00"/>
    <x v="1"/>
    <x v="3"/>
    <x v="3"/>
    <n v="10"/>
    <n v="3403"/>
    <n v="34030"/>
    <x v="11"/>
    <s v="Dec-25"/>
  </r>
  <r>
    <d v="2025-12-07T00:00:00"/>
    <x v="0"/>
    <x v="4"/>
    <x v="2"/>
    <n v="2"/>
    <n v="8379"/>
    <n v="16758"/>
    <x v="11"/>
    <s v="Dec-25"/>
  </r>
  <r>
    <d v="2025-12-07T00:00:00"/>
    <x v="1"/>
    <x v="2"/>
    <x v="6"/>
    <n v="1"/>
    <n v="17821"/>
    <n v="17821"/>
    <x v="11"/>
    <s v="Dec-25"/>
  </r>
  <r>
    <d v="2025-12-07T00:00:00"/>
    <x v="3"/>
    <x v="4"/>
    <x v="0"/>
    <n v="3"/>
    <n v="7671"/>
    <n v="23013"/>
    <x v="11"/>
    <s v="Dec-25"/>
  </r>
  <r>
    <d v="2025-12-07T00:00:00"/>
    <x v="2"/>
    <x v="1"/>
    <x v="1"/>
    <n v="1"/>
    <n v="22480"/>
    <n v="22480"/>
    <x v="11"/>
    <s v="Dec-25"/>
  </r>
  <r>
    <d v="2025-12-08T00:00:00"/>
    <x v="3"/>
    <x v="0"/>
    <x v="4"/>
    <n v="2"/>
    <n v="11669"/>
    <n v="23338"/>
    <x v="11"/>
    <s v="Dec-25"/>
  </r>
  <r>
    <d v="2025-12-08T00:00:00"/>
    <x v="1"/>
    <x v="1"/>
    <x v="0"/>
    <n v="5"/>
    <n v="22542"/>
    <n v="112710"/>
    <x v="11"/>
    <s v="Dec-25"/>
  </r>
  <r>
    <d v="2025-12-08T00:00:00"/>
    <x v="3"/>
    <x v="1"/>
    <x v="3"/>
    <n v="4"/>
    <n v="22220"/>
    <n v="88880"/>
    <x v="11"/>
    <s v="Dec-25"/>
  </r>
  <r>
    <d v="2025-12-08T00:00:00"/>
    <x v="2"/>
    <x v="0"/>
    <x v="2"/>
    <n v="7"/>
    <n v="11616"/>
    <n v="81312"/>
    <x v="11"/>
    <s v="Dec-25"/>
  </r>
  <r>
    <d v="2025-12-08T00:00:00"/>
    <x v="1"/>
    <x v="5"/>
    <x v="0"/>
    <n v="5"/>
    <n v="53545"/>
    <n v="267725"/>
    <x v="11"/>
    <s v="Dec-25"/>
  </r>
  <r>
    <d v="2025-12-09T00:00:00"/>
    <x v="1"/>
    <x v="2"/>
    <x v="4"/>
    <n v="2"/>
    <n v="17118"/>
    <n v="34236"/>
    <x v="11"/>
    <s v="Dec-25"/>
  </r>
  <r>
    <d v="2025-12-09T00:00:00"/>
    <x v="1"/>
    <x v="2"/>
    <x v="3"/>
    <n v="4"/>
    <n v="18384"/>
    <n v="73536"/>
    <x v="11"/>
    <s v="Dec-25"/>
  </r>
  <r>
    <d v="2025-12-09T00:00:00"/>
    <x v="3"/>
    <x v="0"/>
    <x v="0"/>
    <n v="2"/>
    <n v="11514"/>
    <n v="23028"/>
    <x v="11"/>
    <s v="Dec-25"/>
  </r>
  <r>
    <d v="2025-12-09T00:00:00"/>
    <x v="0"/>
    <x v="5"/>
    <x v="5"/>
    <n v="4"/>
    <n v="54840"/>
    <n v="219360"/>
    <x v="11"/>
    <s v="Dec-25"/>
  </r>
  <r>
    <d v="2025-12-09T00:00:00"/>
    <x v="2"/>
    <x v="4"/>
    <x v="7"/>
    <n v="1"/>
    <n v="7802"/>
    <n v="7802"/>
    <x v="11"/>
    <s v="Dec-25"/>
  </r>
  <r>
    <d v="2025-12-10T00:00:00"/>
    <x v="3"/>
    <x v="2"/>
    <x v="3"/>
    <n v="6"/>
    <n v="17338"/>
    <n v="104028"/>
    <x v="11"/>
    <s v="Dec-25"/>
  </r>
  <r>
    <d v="2025-12-10T00:00:00"/>
    <x v="0"/>
    <x v="4"/>
    <x v="6"/>
    <n v="5"/>
    <n v="7735"/>
    <n v="38675"/>
    <x v="11"/>
    <s v="Dec-25"/>
  </r>
  <r>
    <d v="2025-12-10T00:00:00"/>
    <x v="3"/>
    <x v="2"/>
    <x v="4"/>
    <n v="3"/>
    <n v="17261"/>
    <n v="51783"/>
    <x v="11"/>
    <s v="Dec-25"/>
  </r>
  <r>
    <d v="2025-12-10T00:00:00"/>
    <x v="3"/>
    <x v="1"/>
    <x v="0"/>
    <n v="2"/>
    <n v="21589"/>
    <n v="43178"/>
    <x v="11"/>
    <s v="Dec-25"/>
  </r>
  <r>
    <d v="2025-12-10T00:00:00"/>
    <x v="1"/>
    <x v="3"/>
    <x v="0"/>
    <n v="6"/>
    <n v="3649"/>
    <n v="21894"/>
    <x v="11"/>
    <s v="Dec-25"/>
  </r>
  <r>
    <d v="2025-12-10T00:00:00"/>
    <x v="2"/>
    <x v="2"/>
    <x v="0"/>
    <n v="9"/>
    <n v="17663"/>
    <n v="158967"/>
    <x v="11"/>
    <s v="Dec-25"/>
  </r>
  <r>
    <d v="2025-12-11T00:00:00"/>
    <x v="2"/>
    <x v="0"/>
    <x v="4"/>
    <n v="3"/>
    <n v="12066"/>
    <n v="36198"/>
    <x v="11"/>
    <s v="Dec-25"/>
  </r>
  <r>
    <d v="2025-12-11T00:00:00"/>
    <x v="3"/>
    <x v="5"/>
    <x v="2"/>
    <n v="3"/>
    <n v="52550"/>
    <n v="157650"/>
    <x v="11"/>
    <s v="Dec-25"/>
  </r>
  <r>
    <d v="2025-12-11T00:00:00"/>
    <x v="1"/>
    <x v="5"/>
    <x v="4"/>
    <n v="5"/>
    <n v="53149"/>
    <n v="265745"/>
    <x v="11"/>
    <s v="Dec-25"/>
  </r>
  <r>
    <d v="2025-12-12T00:00:00"/>
    <x v="3"/>
    <x v="5"/>
    <x v="4"/>
    <n v="1"/>
    <n v="54678"/>
    <n v="54678"/>
    <x v="11"/>
    <s v="Dec-25"/>
  </r>
  <r>
    <d v="2025-12-12T00:00:00"/>
    <x v="3"/>
    <x v="3"/>
    <x v="4"/>
    <n v="2"/>
    <n v="3621"/>
    <n v="7242"/>
    <x v="11"/>
    <s v="Dec-25"/>
  </r>
  <r>
    <d v="2025-12-12T00:00:00"/>
    <x v="1"/>
    <x v="5"/>
    <x v="5"/>
    <n v="2"/>
    <n v="53370"/>
    <n v="106740"/>
    <x v="11"/>
    <s v="Dec-25"/>
  </r>
  <r>
    <d v="2025-12-12T00:00:00"/>
    <x v="2"/>
    <x v="1"/>
    <x v="6"/>
    <n v="9"/>
    <n v="22709"/>
    <n v="204381"/>
    <x v="11"/>
    <s v="Dec-25"/>
  </r>
  <r>
    <d v="2025-12-12T00:00:00"/>
    <x v="1"/>
    <x v="4"/>
    <x v="7"/>
    <n v="9"/>
    <n v="8213"/>
    <n v="73917"/>
    <x v="11"/>
    <s v="Dec-25"/>
  </r>
  <r>
    <d v="2025-12-13T00:00:00"/>
    <x v="3"/>
    <x v="5"/>
    <x v="2"/>
    <n v="8"/>
    <n v="55972"/>
    <n v="447776"/>
    <x v="11"/>
    <s v="Dec-25"/>
  </r>
  <r>
    <d v="2025-12-13T00:00:00"/>
    <x v="2"/>
    <x v="5"/>
    <x v="0"/>
    <n v="2"/>
    <n v="54417"/>
    <n v="108834"/>
    <x v="11"/>
    <s v="Dec-25"/>
  </r>
  <r>
    <d v="2025-12-13T00:00:00"/>
    <x v="0"/>
    <x v="2"/>
    <x v="6"/>
    <n v="1"/>
    <n v="17245"/>
    <n v="17245"/>
    <x v="11"/>
    <s v="Dec-25"/>
  </r>
  <r>
    <d v="2025-12-14T00:00:00"/>
    <x v="3"/>
    <x v="0"/>
    <x v="0"/>
    <n v="10"/>
    <n v="12189"/>
    <n v="121890"/>
    <x v="11"/>
    <s v="Dec-25"/>
  </r>
  <r>
    <d v="2025-12-14T00:00:00"/>
    <x v="2"/>
    <x v="5"/>
    <x v="4"/>
    <n v="6"/>
    <n v="57460"/>
    <n v="344760"/>
    <x v="11"/>
    <s v="Dec-25"/>
  </r>
  <r>
    <d v="2025-12-14T00:00:00"/>
    <x v="1"/>
    <x v="1"/>
    <x v="7"/>
    <n v="5"/>
    <n v="21610"/>
    <n v="108050"/>
    <x v="11"/>
    <s v="Dec-25"/>
  </r>
  <r>
    <d v="2025-12-14T00:00:00"/>
    <x v="0"/>
    <x v="0"/>
    <x v="1"/>
    <n v="9"/>
    <n v="12542"/>
    <n v="112878"/>
    <x v="11"/>
    <s v="Dec-25"/>
  </r>
  <r>
    <d v="2025-12-14T00:00:00"/>
    <x v="3"/>
    <x v="5"/>
    <x v="3"/>
    <n v="5"/>
    <n v="53229"/>
    <n v="266145"/>
    <x v="11"/>
    <s v="Dec-25"/>
  </r>
  <r>
    <d v="2025-12-15T00:00:00"/>
    <x v="0"/>
    <x v="5"/>
    <x v="2"/>
    <n v="3"/>
    <n v="54386"/>
    <n v="163158"/>
    <x v="11"/>
    <s v="Dec-25"/>
  </r>
  <r>
    <d v="2025-12-15T00:00:00"/>
    <x v="3"/>
    <x v="2"/>
    <x v="6"/>
    <n v="2"/>
    <n v="17637"/>
    <n v="35274"/>
    <x v="11"/>
    <s v="Dec-25"/>
  </r>
  <r>
    <d v="2025-12-15T00:00:00"/>
    <x v="3"/>
    <x v="0"/>
    <x v="0"/>
    <n v="10"/>
    <n v="11557"/>
    <n v="115570"/>
    <x v="11"/>
    <s v="Dec-25"/>
  </r>
  <r>
    <d v="2025-12-15T00:00:00"/>
    <x v="0"/>
    <x v="2"/>
    <x v="2"/>
    <n v="8"/>
    <n v="17901"/>
    <n v="143208"/>
    <x v="11"/>
    <s v="Dec-25"/>
  </r>
  <r>
    <d v="2025-12-15T00:00:00"/>
    <x v="3"/>
    <x v="3"/>
    <x v="0"/>
    <n v="10"/>
    <n v="3535"/>
    <n v="35350"/>
    <x v="11"/>
    <s v="Dec-25"/>
  </r>
  <r>
    <d v="2025-12-16T00:00:00"/>
    <x v="3"/>
    <x v="2"/>
    <x v="6"/>
    <n v="7"/>
    <n v="18235"/>
    <n v="127645"/>
    <x v="11"/>
    <s v="Dec-25"/>
  </r>
  <r>
    <d v="2025-12-16T00:00:00"/>
    <x v="0"/>
    <x v="5"/>
    <x v="5"/>
    <n v="8"/>
    <n v="55970"/>
    <n v="447760"/>
    <x v="11"/>
    <s v="Dec-25"/>
  </r>
  <r>
    <d v="2025-12-17T00:00:00"/>
    <x v="3"/>
    <x v="4"/>
    <x v="1"/>
    <n v="5"/>
    <n v="7974"/>
    <n v="39870"/>
    <x v="11"/>
    <s v="Dec-25"/>
  </r>
  <r>
    <d v="2025-12-17T00:00:00"/>
    <x v="0"/>
    <x v="3"/>
    <x v="0"/>
    <n v="3"/>
    <n v="3669"/>
    <n v="11007"/>
    <x v="11"/>
    <s v="Dec-25"/>
  </r>
  <r>
    <d v="2025-12-17T00:00:00"/>
    <x v="2"/>
    <x v="1"/>
    <x v="3"/>
    <n v="5"/>
    <n v="22150"/>
    <n v="110750"/>
    <x v="11"/>
    <s v="Dec-25"/>
  </r>
  <r>
    <d v="2025-12-18T00:00:00"/>
    <x v="0"/>
    <x v="5"/>
    <x v="1"/>
    <n v="9"/>
    <n v="54587"/>
    <n v="491283"/>
    <x v="11"/>
    <s v="Dec-25"/>
  </r>
  <r>
    <d v="2025-12-18T00:00:00"/>
    <x v="0"/>
    <x v="3"/>
    <x v="0"/>
    <n v="6"/>
    <n v="3414"/>
    <n v="20484"/>
    <x v="11"/>
    <s v="Dec-25"/>
  </r>
  <r>
    <d v="2025-12-18T00:00:00"/>
    <x v="0"/>
    <x v="4"/>
    <x v="7"/>
    <n v="2"/>
    <n v="8192"/>
    <n v="16384"/>
    <x v="11"/>
    <s v="Dec-25"/>
  </r>
  <r>
    <d v="2025-12-18T00:00:00"/>
    <x v="3"/>
    <x v="1"/>
    <x v="6"/>
    <n v="7"/>
    <n v="20999"/>
    <n v="146993"/>
    <x v="11"/>
    <s v="Dec-25"/>
  </r>
  <r>
    <d v="2025-12-18T00:00:00"/>
    <x v="3"/>
    <x v="0"/>
    <x v="0"/>
    <n v="6"/>
    <n v="12104"/>
    <n v="72624"/>
    <x v="11"/>
    <s v="Dec-25"/>
  </r>
  <r>
    <d v="2025-12-18T00:00:00"/>
    <x v="3"/>
    <x v="0"/>
    <x v="4"/>
    <n v="10"/>
    <n v="12369"/>
    <n v="123690"/>
    <x v="11"/>
    <s v="Dec-25"/>
  </r>
  <r>
    <d v="2025-12-19T00:00:00"/>
    <x v="1"/>
    <x v="1"/>
    <x v="6"/>
    <n v="2"/>
    <n v="22543"/>
    <n v="45086"/>
    <x v="11"/>
    <s v="Dec-25"/>
  </r>
  <r>
    <d v="2025-12-19T00:00:00"/>
    <x v="2"/>
    <x v="0"/>
    <x v="1"/>
    <n v="7"/>
    <n v="12041"/>
    <n v="84287"/>
    <x v="11"/>
    <s v="Dec-25"/>
  </r>
  <r>
    <d v="2025-12-19T00:00:00"/>
    <x v="0"/>
    <x v="3"/>
    <x v="1"/>
    <n v="1"/>
    <n v="3385"/>
    <n v="3385"/>
    <x v="11"/>
    <s v="Dec-25"/>
  </r>
  <r>
    <d v="2025-12-19T00:00:00"/>
    <x v="3"/>
    <x v="3"/>
    <x v="3"/>
    <n v="10"/>
    <n v="3579"/>
    <n v="35790"/>
    <x v="11"/>
    <s v="Dec-25"/>
  </r>
  <r>
    <d v="2025-12-20T00:00:00"/>
    <x v="2"/>
    <x v="0"/>
    <x v="3"/>
    <n v="5"/>
    <n v="11505"/>
    <n v="57525"/>
    <x v="11"/>
    <s v="Dec-25"/>
  </r>
  <r>
    <d v="2025-12-20T00:00:00"/>
    <x v="1"/>
    <x v="5"/>
    <x v="2"/>
    <n v="2"/>
    <n v="56737"/>
    <n v="113474"/>
    <x v="11"/>
    <s v="Dec-25"/>
  </r>
  <r>
    <d v="2025-12-20T00:00:00"/>
    <x v="1"/>
    <x v="5"/>
    <x v="2"/>
    <n v="8"/>
    <n v="55817"/>
    <n v="446536"/>
    <x v="11"/>
    <s v="Dec-25"/>
  </r>
  <r>
    <d v="2025-12-20T00:00:00"/>
    <x v="1"/>
    <x v="3"/>
    <x v="2"/>
    <n v="2"/>
    <n v="3430"/>
    <n v="6860"/>
    <x v="11"/>
    <s v="Dec-25"/>
  </r>
  <r>
    <d v="2025-12-21T00:00:00"/>
    <x v="1"/>
    <x v="3"/>
    <x v="3"/>
    <n v="1"/>
    <n v="3365"/>
    <n v="3365"/>
    <x v="11"/>
    <s v="Dec-25"/>
  </r>
  <r>
    <d v="2025-12-21T00:00:00"/>
    <x v="1"/>
    <x v="0"/>
    <x v="4"/>
    <n v="8"/>
    <n v="11965"/>
    <n v="95720"/>
    <x v="11"/>
    <s v="Dec-25"/>
  </r>
  <r>
    <d v="2025-12-21T00:00:00"/>
    <x v="3"/>
    <x v="4"/>
    <x v="2"/>
    <n v="4"/>
    <n v="7835"/>
    <n v="31340"/>
    <x v="11"/>
    <s v="Dec-25"/>
  </r>
  <r>
    <d v="2025-12-21T00:00:00"/>
    <x v="3"/>
    <x v="5"/>
    <x v="5"/>
    <n v="1"/>
    <n v="52814"/>
    <n v="52814"/>
    <x v="11"/>
    <s v="Dec-25"/>
  </r>
  <r>
    <d v="2025-12-21T00:00:00"/>
    <x v="3"/>
    <x v="3"/>
    <x v="4"/>
    <n v="10"/>
    <n v="3533"/>
    <n v="35330"/>
    <x v="11"/>
    <s v="Dec-25"/>
  </r>
  <r>
    <d v="2025-12-22T00:00:00"/>
    <x v="2"/>
    <x v="5"/>
    <x v="4"/>
    <n v="7"/>
    <n v="54923"/>
    <n v="384461"/>
    <x v="11"/>
    <s v="Dec-25"/>
  </r>
  <r>
    <d v="2025-12-22T00:00:00"/>
    <x v="3"/>
    <x v="1"/>
    <x v="7"/>
    <n v="9"/>
    <n v="20941"/>
    <n v="188469"/>
    <x v="11"/>
    <s v="Dec-25"/>
  </r>
  <r>
    <d v="2025-12-22T00:00:00"/>
    <x v="2"/>
    <x v="4"/>
    <x v="1"/>
    <n v="5"/>
    <n v="8314"/>
    <n v="41570"/>
    <x v="11"/>
    <s v="Dec-25"/>
  </r>
  <r>
    <d v="2025-12-22T00:00:00"/>
    <x v="3"/>
    <x v="3"/>
    <x v="1"/>
    <n v="8"/>
    <n v="3542"/>
    <n v="28336"/>
    <x v="11"/>
    <s v="Dec-25"/>
  </r>
  <r>
    <d v="2025-12-22T00:00:00"/>
    <x v="2"/>
    <x v="3"/>
    <x v="3"/>
    <n v="1"/>
    <n v="3381"/>
    <n v="3381"/>
    <x v="11"/>
    <s v="Dec-25"/>
  </r>
  <r>
    <d v="2025-12-22T00:00:00"/>
    <x v="1"/>
    <x v="3"/>
    <x v="5"/>
    <n v="8"/>
    <n v="3406"/>
    <n v="27248"/>
    <x v="11"/>
    <s v="Dec-25"/>
  </r>
  <r>
    <d v="2025-12-23T00:00:00"/>
    <x v="2"/>
    <x v="4"/>
    <x v="4"/>
    <n v="3"/>
    <n v="8306"/>
    <n v="24918"/>
    <x v="11"/>
    <s v="Dec-25"/>
  </r>
  <r>
    <d v="2025-12-23T00:00:00"/>
    <x v="3"/>
    <x v="3"/>
    <x v="5"/>
    <n v="8"/>
    <n v="3604"/>
    <n v="28832"/>
    <x v="11"/>
    <s v="Dec-25"/>
  </r>
  <r>
    <d v="2025-12-23T00:00:00"/>
    <x v="1"/>
    <x v="4"/>
    <x v="2"/>
    <n v="5"/>
    <n v="8152"/>
    <n v="40760"/>
    <x v="11"/>
    <s v="Dec-25"/>
  </r>
  <r>
    <d v="2025-12-24T00:00:00"/>
    <x v="3"/>
    <x v="1"/>
    <x v="6"/>
    <n v="4"/>
    <n v="21243"/>
    <n v="84972"/>
    <x v="11"/>
    <s v="Dec-25"/>
  </r>
  <r>
    <d v="2025-12-24T00:00:00"/>
    <x v="3"/>
    <x v="5"/>
    <x v="3"/>
    <n v="8"/>
    <n v="53920"/>
    <n v="431360"/>
    <x v="11"/>
    <s v="Dec-25"/>
  </r>
  <r>
    <d v="2025-12-25T00:00:00"/>
    <x v="0"/>
    <x v="5"/>
    <x v="5"/>
    <n v="5"/>
    <n v="54213"/>
    <n v="271065"/>
    <x v="11"/>
    <s v="Dec-25"/>
  </r>
  <r>
    <d v="2025-12-25T00:00:00"/>
    <x v="1"/>
    <x v="1"/>
    <x v="7"/>
    <n v="2"/>
    <n v="21643"/>
    <n v="43286"/>
    <x v="11"/>
    <s v="Dec-25"/>
  </r>
  <r>
    <d v="2025-12-25T00:00:00"/>
    <x v="0"/>
    <x v="4"/>
    <x v="2"/>
    <n v="2"/>
    <n v="8049"/>
    <n v="16098"/>
    <x v="11"/>
    <s v="Dec-25"/>
  </r>
  <r>
    <d v="2025-12-26T00:00:00"/>
    <x v="2"/>
    <x v="2"/>
    <x v="5"/>
    <n v="1"/>
    <n v="18486"/>
    <n v="18486"/>
    <x v="11"/>
    <s v="Dec-25"/>
  </r>
  <r>
    <d v="2025-12-26T00:00:00"/>
    <x v="2"/>
    <x v="1"/>
    <x v="1"/>
    <n v="1"/>
    <n v="22938"/>
    <n v="22938"/>
    <x v="11"/>
    <s v="Dec-25"/>
  </r>
  <r>
    <d v="2025-12-26T00:00:00"/>
    <x v="3"/>
    <x v="3"/>
    <x v="1"/>
    <n v="2"/>
    <n v="3598"/>
    <n v="7196"/>
    <x v="11"/>
    <s v="Dec-25"/>
  </r>
  <r>
    <d v="2025-12-26T00:00:00"/>
    <x v="0"/>
    <x v="4"/>
    <x v="7"/>
    <n v="9"/>
    <n v="7684"/>
    <n v="69156"/>
    <x v="11"/>
    <s v="Dec-25"/>
  </r>
  <r>
    <d v="2025-12-26T00:00:00"/>
    <x v="0"/>
    <x v="1"/>
    <x v="5"/>
    <n v="3"/>
    <n v="22502"/>
    <n v="67506"/>
    <x v="11"/>
    <s v="Dec-25"/>
  </r>
  <r>
    <d v="2025-12-27T00:00:00"/>
    <x v="3"/>
    <x v="0"/>
    <x v="1"/>
    <n v="3"/>
    <n v="12176"/>
    <n v="36528"/>
    <x v="11"/>
    <s v="Dec-25"/>
  </r>
  <r>
    <d v="2025-12-27T00:00:00"/>
    <x v="2"/>
    <x v="1"/>
    <x v="1"/>
    <n v="4"/>
    <n v="21866"/>
    <n v="87464"/>
    <x v="11"/>
    <s v="Dec-25"/>
  </r>
  <r>
    <d v="2025-12-27T00:00:00"/>
    <x v="3"/>
    <x v="5"/>
    <x v="2"/>
    <n v="8"/>
    <n v="54127"/>
    <n v="433016"/>
    <x v="11"/>
    <s v="Dec-25"/>
  </r>
  <r>
    <d v="2025-12-27T00:00:00"/>
    <x v="1"/>
    <x v="5"/>
    <x v="0"/>
    <n v="6"/>
    <n v="56183"/>
    <n v="337098"/>
    <x v="11"/>
    <s v="Dec-25"/>
  </r>
  <r>
    <d v="2025-12-27T00:00:00"/>
    <x v="3"/>
    <x v="2"/>
    <x v="2"/>
    <n v="3"/>
    <n v="18455"/>
    <n v="55365"/>
    <x v="11"/>
    <s v="Dec-25"/>
  </r>
  <r>
    <d v="2025-12-28T00:00:00"/>
    <x v="3"/>
    <x v="1"/>
    <x v="6"/>
    <n v="7"/>
    <n v="21809"/>
    <n v="152663"/>
    <x v="11"/>
    <s v="Dec-25"/>
  </r>
  <r>
    <d v="2025-12-28T00:00:00"/>
    <x v="3"/>
    <x v="3"/>
    <x v="5"/>
    <n v="1"/>
    <n v="3479"/>
    <n v="3479"/>
    <x v="11"/>
    <s v="Dec-25"/>
  </r>
  <r>
    <d v="2025-12-28T00:00:00"/>
    <x v="0"/>
    <x v="0"/>
    <x v="1"/>
    <n v="2"/>
    <n v="11805"/>
    <n v="23610"/>
    <x v="11"/>
    <s v="Dec-25"/>
  </r>
  <r>
    <d v="2025-12-28T00:00:00"/>
    <x v="3"/>
    <x v="1"/>
    <x v="3"/>
    <n v="1"/>
    <n v="21765"/>
    <n v="21765"/>
    <x v="11"/>
    <s v="Dec-25"/>
  </r>
  <r>
    <d v="2025-12-28T00:00:00"/>
    <x v="0"/>
    <x v="0"/>
    <x v="6"/>
    <n v="10"/>
    <n v="11469"/>
    <n v="114690"/>
    <x v="11"/>
    <s v="Dec-25"/>
  </r>
  <r>
    <d v="2025-12-28T00:00:00"/>
    <x v="2"/>
    <x v="3"/>
    <x v="3"/>
    <n v="9"/>
    <n v="3630"/>
    <n v="32670"/>
    <x v="11"/>
    <s v="Dec-25"/>
  </r>
  <r>
    <d v="2025-12-29T00:00:00"/>
    <x v="2"/>
    <x v="5"/>
    <x v="0"/>
    <n v="9"/>
    <n v="55607"/>
    <n v="500463"/>
    <x v="11"/>
    <s v="Dec-25"/>
  </r>
  <r>
    <d v="2025-12-29T00:00:00"/>
    <x v="1"/>
    <x v="0"/>
    <x v="3"/>
    <n v="8"/>
    <n v="12172"/>
    <n v="97376"/>
    <x v="11"/>
    <s v="Dec-25"/>
  </r>
  <r>
    <d v="2025-12-29T00:00:00"/>
    <x v="3"/>
    <x v="0"/>
    <x v="5"/>
    <n v="7"/>
    <n v="12330"/>
    <n v="86310"/>
    <x v="11"/>
    <s v="Dec-25"/>
  </r>
  <r>
    <d v="2025-12-29T00:00:00"/>
    <x v="2"/>
    <x v="5"/>
    <x v="7"/>
    <n v="9"/>
    <n v="54089"/>
    <n v="486801"/>
    <x v="11"/>
    <s v="Dec-25"/>
  </r>
  <r>
    <d v="2025-12-30T00:00:00"/>
    <x v="2"/>
    <x v="1"/>
    <x v="1"/>
    <n v="9"/>
    <n v="22113"/>
    <n v="199017"/>
    <x v="11"/>
    <s v="Dec-25"/>
  </r>
  <r>
    <d v="2025-12-30T00:00:00"/>
    <x v="2"/>
    <x v="0"/>
    <x v="6"/>
    <n v="1"/>
    <n v="11433"/>
    <n v="11433"/>
    <x v="11"/>
    <s v="Dec-25"/>
  </r>
  <r>
    <d v="2025-12-30T00:00:00"/>
    <x v="2"/>
    <x v="1"/>
    <x v="0"/>
    <n v="7"/>
    <n v="23071"/>
    <n v="161497"/>
    <x v="11"/>
    <s v="Dec-25"/>
  </r>
  <r>
    <d v="2025-12-31T00:00:00"/>
    <x v="0"/>
    <x v="2"/>
    <x v="0"/>
    <n v="9"/>
    <n v="17738"/>
    <n v="159642"/>
    <x v="11"/>
    <s v="Dec-25"/>
  </r>
  <r>
    <d v="2025-12-31T00:00:00"/>
    <x v="0"/>
    <x v="0"/>
    <x v="1"/>
    <n v="8"/>
    <n v="11757"/>
    <n v="94056"/>
    <x v="11"/>
    <s v="Dec-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82D796-2377-4F3F-9400-C7488CD37D7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9">
    <pivotField numFmtId="164" showAll="0"/>
    <pivotField showAll="0">
      <items count="5">
        <item x="2"/>
        <item x="0"/>
        <item x="1"/>
        <item x="3"/>
        <item t="default"/>
      </items>
    </pivotField>
    <pivotField axis="axisRow" showAll="0">
      <items count="7">
        <item x="3"/>
        <item x="5"/>
        <item x="0"/>
        <item x="1"/>
        <item x="4"/>
        <item x="2"/>
        <item t="default"/>
      </items>
    </pivotField>
    <pivotField showAll="0">
      <items count="9">
        <item x="7"/>
        <item x="5"/>
        <item x="4"/>
        <item x="3"/>
        <item x="1"/>
        <item x="6"/>
        <item x="2"/>
        <item x="0"/>
        <item t="default"/>
      </items>
    </pivotField>
    <pivotField showAll="0"/>
    <pivotField numFmtId="3" showAll="0"/>
    <pivotField dataField="1" numFmtId="3" showAll="0"/>
    <pivotField showAll="0">
      <items count="13">
        <item x="0"/>
        <item x="1"/>
        <item x="2"/>
        <item x="3"/>
        <item x="4"/>
        <item x="5"/>
        <item x="6"/>
        <item x="7"/>
        <item x="8"/>
        <item x="9"/>
        <item x="10"/>
        <item x="11"/>
        <item t="default"/>
      </items>
    </pivotField>
    <pivotField showAll="0"/>
  </pivotFields>
  <rowFields count="1">
    <field x="2"/>
  </rowFields>
  <rowItems count="7">
    <i>
      <x/>
    </i>
    <i>
      <x v="1"/>
    </i>
    <i>
      <x v="2"/>
    </i>
    <i>
      <x v="3"/>
    </i>
    <i>
      <x v="4"/>
    </i>
    <i>
      <x v="5"/>
    </i>
    <i t="grand">
      <x/>
    </i>
  </rowItems>
  <colItems count="1">
    <i/>
  </colItems>
  <dataFields count="1">
    <dataField name="Sum of Revenue" fld="6" baseField="0" baseItem="0" numFmtId="3"/>
  </dataFields>
  <formats count="6">
    <format dxfId="66">
      <pivotArea type="all" dataOnly="0" outline="0" fieldPosition="0"/>
    </format>
    <format dxfId="65">
      <pivotArea outline="0" collapsedLevelsAreSubtotals="1" fieldPosition="0"/>
    </format>
    <format dxfId="64">
      <pivotArea field="2" type="button" dataOnly="0" labelOnly="1" outline="0" axis="axisRow" fieldPosition="0"/>
    </format>
    <format dxfId="63">
      <pivotArea dataOnly="0" labelOnly="1" fieldPosition="0">
        <references count="1">
          <reference field="2" count="0"/>
        </references>
      </pivotArea>
    </format>
    <format dxfId="62">
      <pivotArea dataOnly="0" labelOnly="1" grandRow="1" outline="0"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B444A7-75EC-4239-AE12-3F79ED793CDF}" sourceName="Region">
  <pivotTables>
    <pivotTable tabId="3" name="PivotTable1"/>
  </pivotTables>
  <data>
    <tabular pivotCacheId="69017557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31AE59-07EC-4243-8AF9-8DA6CAE51D82}" sourceName="Product">
  <pivotTables>
    <pivotTable tabId="3" name="PivotTable1"/>
  </pivotTables>
  <data>
    <tabular pivotCacheId="690175573">
      <items count="6">
        <i x="3"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66F5E40-8E3E-44B4-ABEB-BD8F6AFE5E9D}" sourceName="Salesperson">
  <pivotTables>
    <pivotTable tabId="3" name="PivotTable1"/>
  </pivotTables>
  <data>
    <tabular pivotCacheId="690175573">
      <items count="8">
        <i x="7" s="1"/>
        <i x="5" s="1"/>
        <i x="4" s="1"/>
        <i x="3" s="1"/>
        <i x="1" s="1"/>
        <i x="6"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ED3553-1EEA-4F4B-974A-F975218A61EC}" sourceName="Month">
  <pivotTables>
    <pivotTable tabId="3" name="PivotTable1"/>
  </pivotTables>
  <data>
    <tabular pivotCacheId="69017557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B7DD81-3615-426B-9924-31B75061D7F5}" cache="Slicer_Region" caption="Region" rowHeight="234950"/>
  <slicer name="Product" xr10:uid="{1508C4EA-9470-4783-A624-0ECC673571F8}" cache="Slicer_Product" caption="Product" rowHeight="234950"/>
  <slicer name="Salesperson" xr10:uid="{47E0C9D8-174E-4801-91D2-AE6A76C7FCCD}" cache="Slicer_Salesperson" caption="Salesperson" rowHeight="234950"/>
  <slicer name="Month" xr10:uid="{6F92AE5E-ECA4-4022-90EC-30FA6AC1140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I1498" totalsRowShown="0">
  <autoFilter ref="A1:I1498" xr:uid="{00000000-0009-0000-0100-000001000000}"/>
  <tableColumns count="9">
    <tableColumn id="1" xr3:uid="{00000000-0010-0000-0000-000001000000}" name="Date"/>
    <tableColumn id="2" xr3:uid="{00000000-0010-0000-0000-000002000000}" name="Region"/>
    <tableColumn id="3" xr3:uid="{00000000-0010-0000-0000-000003000000}" name="Product"/>
    <tableColumn id="4" xr3:uid="{00000000-0010-0000-0000-000004000000}" name="Salesperson"/>
    <tableColumn id="5" xr3:uid="{00000000-0010-0000-0000-000005000000}" name="Units"/>
    <tableColumn id="6" xr3:uid="{00000000-0010-0000-0000-000006000000}" name="UnitPrice"/>
    <tableColumn id="7" xr3:uid="{00000000-0010-0000-0000-000007000000}" name="Revenue"/>
    <tableColumn id="8" xr3:uid="{00000000-0010-0000-0000-000008000000}" name="Month"/>
    <tableColumn id="9" xr3:uid="{00000000-0010-0000-0000-000009000000}" name="MonthLabe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98"/>
  <sheetViews>
    <sheetView tabSelected="1" zoomScaleNormal="100" workbookViewId="0">
      <pane ySplit="1" topLeftCell="A33" activePane="bottomLeft" state="frozen"/>
      <selection pane="bottomLeft" activeCell="I9" sqref="I9"/>
    </sheetView>
  </sheetViews>
  <sheetFormatPr defaultColWidth="8.6640625" defaultRowHeight="14.4" x14ac:dyDescent="0.3"/>
  <cols>
    <col min="1" max="1" width="9.88671875" bestFit="1" customWidth="1"/>
    <col min="2" max="2" width="12.33203125" bestFit="1" customWidth="1"/>
    <col min="3" max="3" width="13" customWidth="1"/>
    <col min="4" max="4" width="17.6640625" bestFit="1" customWidth="1"/>
    <col min="5" max="5" width="10.44140625" bestFit="1" customWidth="1"/>
    <col min="6" max="6" width="14.33203125" bestFit="1" customWidth="1"/>
    <col min="7" max="7" width="14.21875" bestFit="1" customWidth="1"/>
    <col min="8" max="8" width="11.44140625" bestFit="1" customWidth="1"/>
    <col min="9" max="9" width="16.77734375" bestFit="1" customWidth="1"/>
  </cols>
  <sheetData>
    <row r="1" spans="1:9" x14ac:dyDescent="0.3">
      <c r="A1" s="11" t="s">
        <v>0</v>
      </c>
      <c r="B1" s="11" t="s">
        <v>1</v>
      </c>
      <c r="C1" s="11" t="s">
        <v>2</v>
      </c>
      <c r="D1" s="11" t="s">
        <v>3</v>
      </c>
      <c r="E1" s="11" t="s">
        <v>4</v>
      </c>
      <c r="F1" s="11" t="s">
        <v>5</v>
      </c>
      <c r="G1" s="11" t="s">
        <v>6</v>
      </c>
      <c r="H1" s="11" t="s">
        <v>7</v>
      </c>
      <c r="I1" s="11" t="s">
        <v>8</v>
      </c>
    </row>
    <row r="2" spans="1:9" x14ac:dyDescent="0.3">
      <c r="A2" s="12">
        <v>45658</v>
      </c>
      <c r="B2" s="13" t="s">
        <v>9</v>
      </c>
      <c r="C2" s="13" t="s">
        <v>10</v>
      </c>
      <c r="D2" s="13" t="s">
        <v>11</v>
      </c>
      <c r="E2" s="13">
        <v>4</v>
      </c>
      <c r="F2" s="14">
        <v>11667</v>
      </c>
      <c r="G2" s="14">
        <v>46668</v>
      </c>
      <c r="H2" s="13" t="s">
        <v>12</v>
      </c>
      <c r="I2" s="13" t="s">
        <v>13</v>
      </c>
    </row>
    <row r="3" spans="1:9" x14ac:dyDescent="0.3">
      <c r="A3" s="12">
        <v>45658</v>
      </c>
      <c r="B3" s="13" t="s">
        <v>9</v>
      </c>
      <c r="C3" s="13" t="s">
        <v>10</v>
      </c>
      <c r="D3" s="13" t="s">
        <v>14</v>
      </c>
      <c r="E3" s="13">
        <v>10</v>
      </c>
      <c r="F3" s="14">
        <v>11906</v>
      </c>
      <c r="G3" s="14">
        <v>119060</v>
      </c>
      <c r="H3" s="13" t="s">
        <v>12</v>
      </c>
      <c r="I3" s="13" t="s">
        <v>13</v>
      </c>
    </row>
    <row r="4" spans="1:9" x14ac:dyDescent="0.3">
      <c r="A4" s="12">
        <v>45659</v>
      </c>
      <c r="B4" s="13" t="s">
        <v>9</v>
      </c>
      <c r="C4" s="13" t="s">
        <v>15</v>
      </c>
      <c r="D4" s="13" t="s">
        <v>16</v>
      </c>
      <c r="E4" s="13">
        <v>9</v>
      </c>
      <c r="F4" s="14">
        <v>22224</v>
      </c>
      <c r="G4" s="14">
        <v>200016</v>
      </c>
      <c r="H4" s="13" t="s">
        <v>12</v>
      </c>
      <c r="I4" s="13" t="s">
        <v>13</v>
      </c>
    </row>
    <row r="5" spans="1:9" x14ac:dyDescent="0.3">
      <c r="A5" s="12">
        <v>45659</v>
      </c>
      <c r="B5" s="13" t="s">
        <v>17</v>
      </c>
      <c r="C5" s="13" t="s">
        <v>10</v>
      </c>
      <c r="D5" s="13" t="s">
        <v>18</v>
      </c>
      <c r="E5" s="13">
        <v>4</v>
      </c>
      <c r="F5" s="14">
        <v>11939</v>
      </c>
      <c r="G5" s="14">
        <v>47756</v>
      </c>
      <c r="H5" s="13" t="s">
        <v>12</v>
      </c>
      <c r="I5" s="13" t="s">
        <v>13</v>
      </c>
    </row>
    <row r="6" spans="1:9" x14ac:dyDescent="0.3">
      <c r="A6" s="12">
        <v>45660</v>
      </c>
      <c r="B6" s="13" t="s">
        <v>9</v>
      </c>
      <c r="C6" s="13" t="s">
        <v>15</v>
      </c>
      <c r="D6" s="13" t="s">
        <v>18</v>
      </c>
      <c r="E6" s="13">
        <v>6</v>
      </c>
      <c r="F6" s="14">
        <v>21511</v>
      </c>
      <c r="G6" s="14">
        <v>129066</v>
      </c>
      <c r="H6" s="13" t="s">
        <v>12</v>
      </c>
      <c r="I6" s="13" t="s">
        <v>13</v>
      </c>
    </row>
    <row r="7" spans="1:9" x14ac:dyDescent="0.3">
      <c r="A7" s="12">
        <v>45660</v>
      </c>
      <c r="B7" s="13" t="s">
        <v>17</v>
      </c>
      <c r="C7" s="13" t="s">
        <v>19</v>
      </c>
      <c r="D7" s="13" t="s">
        <v>14</v>
      </c>
      <c r="E7" s="13">
        <v>2</v>
      </c>
      <c r="F7" s="14">
        <v>17783</v>
      </c>
      <c r="G7" s="14">
        <v>35566</v>
      </c>
      <c r="H7" s="13" t="s">
        <v>12</v>
      </c>
      <c r="I7" s="13" t="s">
        <v>13</v>
      </c>
    </row>
    <row r="8" spans="1:9" x14ac:dyDescent="0.3">
      <c r="A8" s="12">
        <v>45660</v>
      </c>
      <c r="B8" s="13" t="s">
        <v>20</v>
      </c>
      <c r="C8" s="13" t="s">
        <v>19</v>
      </c>
      <c r="D8" s="13" t="s">
        <v>11</v>
      </c>
      <c r="E8" s="13">
        <v>1</v>
      </c>
      <c r="F8" s="14">
        <v>18413</v>
      </c>
      <c r="G8" s="14">
        <v>18413</v>
      </c>
      <c r="H8" s="13" t="s">
        <v>12</v>
      </c>
      <c r="I8" s="13" t="s">
        <v>13</v>
      </c>
    </row>
    <row r="9" spans="1:9" x14ac:dyDescent="0.3">
      <c r="A9" s="12">
        <v>45660</v>
      </c>
      <c r="B9" s="13" t="s">
        <v>9</v>
      </c>
      <c r="C9" s="13" t="s">
        <v>21</v>
      </c>
      <c r="D9" s="13" t="s">
        <v>14</v>
      </c>
      <c r="E9" s="13">
        <v>9</v>
      </c>
      <c r="F9" s="14">
        <v>3427</v>
      </c>
      <c r="G9" s="14">
        <v>30843</v>
      </c>
      <c r="H9" s="13" t="s">
        <v>12</v>
      </c>
      <c r="I9" s="13" t="s">
        <v>13</v>
      </c>
    </row>
    <row r="10" spans="1:9" x14ac:dyDescent="0.3">
      <c r="A10" s="12">
        <v>45661</v>
      </c>
      <c r="B10" s="13" t="s">
        <v>20</v>
      </c>
      <c r="C10" s="13" t="s">
        <v>22</v>
      </c>
      <c r="D10" s="13" t="s">
        <v>16</v>
      </c>
      <c r="E10" s="13">
        <v>2</v>
      </c>
      <c r="F10" s="14">
        <v>7636</v>
      </c>
      <c r="G10" s="14">
        <v>15272</v>
      </c>
      <c r="H10" s="13" t="s">
        <v>12</v>
      </c>
      <c r="I10" s="13" t="s">
        <v>13</v>
      </c>
    </row>
    <row r="11" spans="1:9" x14ac:dyDescent="0.3">
      <c r="A11" s="12">
        <v>45661</v>
      </c>
      <c r="B11" s="13" t="s">
        <v>17</v>
      </c>
      <c r="C11" s="13" t="s">
        <v>19</v>
      </c>
      <c r="D11" s="13" t="s">
        <v>14</v>
      </c>
      <c r="E11" s="13">
        <v>4</v>
      </c>
      <c r="F11" s="14">
        <v>18659</v>
      </c>
      <c r="G11" s="14">
        <v>74636</v>
      </c>
      <c r="H11" s="13" t="s">
        <v>12</v>
      </c>
      <c r="I11" s="13" t="s">
        <v>13</v>
      </c>
    </row>
    <row r="12" spans="1:9" x14ac:dyDescent="0.3">
      <c r="A12" s="12">
        <v>45661</v>
      </c>
      <c r="B12" s="13" t="s">
        <v>23</v>
      </c>
      <c r="C12" s="13" t="s">
        <v>19</v>
      </c>
      <c r="D12" s="13" t="s">
        <v>24</v>
      </c>
      <c r="E12" s="13">
        <v>6</v>
      </c>
      <c r="F12" s="14">
        <v>17392</v>
      </c>
      <c r="G12" s="14">
        <v>104352</v>
      </c>
      <c r="H12" s="13" t="s">
        <v>12</v>
      </c>
      <c r="I12" s="13" t="s">
        <v>13</v>
      </c>
    </row>
    <row r="13" spans="1:9" x14ac:dyDescent="0.3">
      <c r="A13" s="12">
        <v>45661</v>
      </c>
      <c r="B13" s="13" t="s">
        <v>20</v>
      </c>
      <c r="C13" s="13" t="s">
        <v>15</v>
      </c>
      <c r="D13" s="13" t="s">
        <v>11</v>
      </c>
      <c r="E13" s="13">
        <v>2</v>
      </c>
      <c r="F13" s="14">
        <v>22240</v>
      </c>
      <c r="G13" s="14">
        <v>44480</v>
      </c>
      <c r="H13" s="13" t="s">
        <v>12</v>
      </c>
      <c r="I13" s="13" t="s">
        <v>13</v>
      </c>
    </row>
    <row r="14" spans="1:9" x14ac:dyDescent="0.3">
      <c r="A14" s="12">
        <v>45661</v>
      </c>
      <c r="B14" s="13" t="s">
        <v>17</v>
      </c>
      <c r="C14" s="13" t="s">
        <v>22</v>
      </c>
      <c r="D14" s="13" t="s">
        <v>16</v>
      </c>
      <c r="E14" s="13">
        <v>3</v>
      </c>
      <c r="F14" s="14">
        <v>7969</v>
      </c>
      <c r="G14" s="14">
        <v>23907</v>
      </c>
      <c r="H14" s="13" t="s">
        <v>12</v>
      </c>
      <c r="I14" s="13" t="s">
        <v>13</v>
      </c>
    </row>
    <row r="15" spans="1:9" x14ac:dyDescent="0.3">
      <c r="A15" s="12">
        <v>45661</v>
      </c>
      <c r="B15" s="13" t="s">
        <v>20</v>
      </c>
      <c r="C15" s="13" t="s">
        <v>10</v>
      </c>
      <c r="D15" s="13" t="s">
        <v>16</v>
      </c>
      <c r="E15" s="13">
        <v>6</v>
      </c>
      <c r="F15" s="14">
        <v>12411</v>
      </c>
      <c r="G15" s="14">
        <v>74466</v>
      </c>
      <c r="H15" s="13" t="s">
        <v>12</v>
      </c>
      <c r="I15" s="13" t="s">
        <v>13</v>
      </c>
    </row>
    <row r="16" spans="1:9" x14ac:dyDescent="0.3">
      <c r="A16" s="12">
        <v>45662</v>
      </c>
      <c r="B16" s="13" t="s">
        <v>17</v>
      </c>
      <c r="C16" s="13" t="s">
        <v>25</v>
      </c>
      <c r="D16" s="13" t="s">
        <v>26</v>
      </c>
      <c r="E16" s="13">
        <v>7</v>
      </c>
      <c r="F16" s="14">
        <v>53722</v>
      </c>
      <c r="G16" s="14">
        <v>376054</v>
      </c>
      <c r="H16" s="13" t="s">
        <v>12</v>
      </c>
      <c r="I16" s="13" t="s">
        <v>13</v>
      </c>
    </row>
    <row r="17" spans="1:9" x14ac:dyDescent="0.3">
      <c r="A17" s="12">
        <v>45662</v>
      </c>
      <c r="B17" s="13" t="s">
        <v>17</v>
      </c>
      <c r="C17" s="13" t="s">
        <v>22</v>
      </c>
      <c r="D17" s="13" t="s">
        <v>26</v>
      </c>
      <c r="E17" s="13">
        <v>4</v>
      </c>
      <c r="F17" s="14">
        <v>8124</v>
      </c>
      <c r="G17" s="14">
        <v>32496</v>
      </c>
      <c r="H17" s="13" t="s">
        <v>12</v>
      </c>
      <c r="I17" s="13" t="s">
        <v>13</v>
      </c>
    </row>
    <row r="18" spans="1:9" x14ac:dyDescent="0.3">
      <c r="A18" s="12">
        <v>45663</v>
      </c>
      <c r="B18" s="13" t="s">
        <v>23</v>
      </c>
      <c r="C18" s="13" t="s">
        <v>15</v>
      </c>
      <c r="D18" s="13" t="s">
        <v>11</v>
      </c>
      <c r="E18" s="13">
        <v>3</v>
      </c>
      <c r="F18" s="14">
        <v>21442</v>
      </c>
      <c r="G18" s="14">
        <v>64326</v>
      </c>
      <c r="H18" s="13" t="s">
        <v>12</v>
      </c>
      <c r="I18" s="13" t="s">
        <v>13</v>
      </c>
    </row>
    <row r="19" spans="1:9" x14ac:dyDescent="0.3">
      <c r="A19" s="12">
        <v>45663</v>
      </c>
      <c r="B19" s="13" t="s">
        <v>20</v>
      </c>
      <c r="C19" s="13" t="s">
        <v>10</v>
      </c>
      <c r="D19" s="13" t="s">
        <v>18</v>
      </c>
      <c r="E19" s="13">
        <v>10</v>
      </c>
      <c r="F19" s="14">
        <v>11879</v>
      </c>
      <c r="G19" s="14">
        <v>118790</v>
      </c>
      <c r="H19" s="13" t="s">
        <v>12</v>
      </c>
      <c r="I19" s="13" t="s">
        <v>13</v>
      </c>
    </row>
    <row r="20" spans="1:9" x14ac:dyDescent="0.3">
      <c r="A20" s="12">
        <v>45663</v>
      </c>
      <c r="B20" s="13" t="s">
        <v>17</v>
      </c>
      <c r="C20" s="13" t="s">
        <v>15</v>
      </c>
      <c r="D20" s="13" t="s">
        <v>24</v>
      </c>
      <c r="E20" s="13">
        <v>2</v>
      </c>
      <c r="F20" s="14">
        <v>22562</v>
      </c>
      <c r="G20" s="14">
        <v>45124</v>
      </c>
      <c r="H20" s="13" t="s">
        <v>12</v>
      </c>
      <c r="I20" s="13" t="s">
        <v>13</v>
      </c>
    </row>
    <row r="21" spans="1:9" x14ac:dyDescent="0.3">
      <c r="A21" s="12">
        <v>45663</v>
      </c>
      <c r="B21" s="13" t="s">
        <v>9</v>
      </c>
      <c r="C21" s="13" t="s">
        <v>15</v>
      </c>
      <c r="D21" s="13" t="s">
        <v>27</v>
      </c>
      <c r="E21" s="13">
        <v>7</v>
      </c>
      <c r="F21" s="14">
        <v>22212</v>
      </c>
      <c r="G21" s="14">
        <v>155484</v>
      </c>
      <c r="H21" s="13" t="s">
        <v>12</v>
      </c>
      <c r="I21" s="13" t="s">
        <v>13</v>
      </c>
    </row>
    <row r="22" spans="1:9" x14ac:dyDescent="0.3">
      <c r="A22" s="12">
        <v>45663</v>
      </c>
      <c r="B22" s="13" t="s">
        <v>23</v>
      </c>
      <c r="C22" s="13" t="s">
        <v>21</v>
      </c>
      <c r="D22" s="13" t="s">
        <v>24</v>
      </c>
      <c r="E22" s="13">
        <v>9</v>
      </c>
      <c r="F22" s="14">
        <v>3412</v>
      </c>
      <c r="G22" s="14">
        <v>30708</v>
      </c>
      <c r="H22" s="13" t="s">
        <v>12</v>
      </c>
      <c r="I22" s="13" t="s">
        <v>13</v>
      </c>
    </row>
    <row r="23" spans="1:9" x14ac:dyDescent="0.3">
      <c r="A23" s="12">
        <v>45664</v>
      </c>
      <c r="B23" s="13" t="s">
        <v>9</v>
      </c>
      <c r="C23" s="13" t="s">
        <v>10</v>
      </c>
      <c r="D23" s="13" t="s">
        <v>14</v>
      </c>
      <c r="E23" s="13">
        <v>9</v>
      </c>
      <c r="F23" s="14">
        <v>12301</v>
      </c>
      <c r="G23" s="14">
        <v>110709</v>
      </c>
      <c r="H23" s="13" t="s">
        <v>12</v>
      </c>
      <c r="I23" s="13" t="s">
        <v>13</v>
      </c>
    </row>
    <row r="24" spans="1:9" x14ac:dyDescent="0.3">
      <c r="A24" s="12">
        <v>45664</v>
      </c>
      <c r="B24" s="13" t="s">
        <v>20</v>
      </c>
      <c r="C24" s="13" t="s">
        <v>25</v>
      </c>
      <c r="D24" s="13" t="s">
        <v>11</v>
      </c>
      <c r="E24" s="13">
        <v>7</v>
      </c>
      <c r="F24" s="14">
        <v>53119</v>
      </c>
      <c r="G24" s="14">
        <v>371833</v>
      </c>
      <c r="H24" s="13" t="s">
        <v>12</v>
      </c>
      <c r="I24" s="13" t="s">
        <v>13</v>
      </c>
    </row>
    <row r="25" spans="1:9" x14ac:dyDescent="0.3">
      <c r="A25" s="12">
        <v>45664</v>
      </c>
      <c r="B25" s="13" t="s">
        <v>9</v>
      </c>
      <c r="C25" s="13" t="s">
        <v>10</v>
      </c>
      <c r="D25" s="13" t="s">
        <v>11</v>
      </c>
      <c r="E25" s="13">
        <v>9</v>
      </c>
      <c r="F25" s="14">
        <v>12314</v>
      </c>
      <c r="G25" s="14">
        <v>110826</v>
      </c>
      <c r="H25" s="13" t="s">
        <v>12</v>
      </c>
      <c r="I25" s="13" t="s">
        <v>13</v>
      </c>
    </row>
    <row r="26" spans="1:9" x14ac:dyDescent="0.3">
      <c r="A26" s="12">
        <v>45664</v>
      </c>
      <c r="B26" s="13" t="s">
        <v>9</v>
      </c>
      <c r="C26" s="13" t="s">
        <v>10</v>
      </c>
      <c r="D26" s="13" t="s">
        <v>11</v>
      </c>
      <c r="E26" s="13">
        <v>9</v>
      </c>
      <c r="F26" s="14">
        <v>12130</v>
      </c>
      <c r="G26" s="14">
        <v>109170</v>
      </c>
      <c r="H26" s="13" t="s">
        <v>12</v>
      </c>
      <c r="I26" s="13" t="s">
        <v>13</v>
      </c>
    </row>
    <row r="27" spans="1:9" x14ac:dyDescent="0.3">
      <c r="A27" s="12">
        <v>45664</v>
      </c>
      <c r="B27" s="13" t="s">
        <v>17</v>
      </c>
      <c r="C27" s="13" t="s">
        <v>19</v>
      </c>
      <c r="D27" s="13" t="s">
        <v>27</v>
      </c>
      <c r="E27" s="13">
        <v>9</v>
      </c>
      <c r="F27" s="14">
        <v>18816</v>
      </c>
      <c r="G27" s="14">
        <v>169344</v>
      </c>
      <c r="H27" s="13" t="s">
        <v>12</v>
      </c>
      <c r="I27" s="13" t="s">
        <v>13</v>
      </c>
    </row>
    <row r="28" spans="1:9" x14ac:dyDescent="0.3">
      <c r="A28" s="12">
        <v>45664</v>
      </c>
      <c r="B28" s="13" t="s">
        <v>9</v>
      </c>
      <c r="C28" s="13" t="s">
        <v>22</v>
      </c>
      <c r="D28" s="13" t="s">
        <v>26</v>
      </c>
      <c r="E28" s="13">
        <v>8</v>
      </c>
      <c r="F28" s="14">
        <v>7615</v>
      </c>
      <c r="G28" s="14">
        <v>60920</v>
      </c>
      <c r="H28" s="13" t="s">
        <v>12</v>
      </c>
      <c r="I28" s="13" t="s">
        <v>13</v>
      </c>
    </row>
    <row r="29" spans="1:9" x14ac:dyDescent="0.3">
      <c r="A29" s="12">
        <v>45665</v>
      </c>
      <c r="B29" s="13" t="s">
        <v>20</v>
      </c>
      <c r="C29" s="13" t="s">
        <v>15</v>
      </c>
      <c r="D29" s="13" t="s">
        <v>28</v>
      </c>
      <c r="E29" s="13">
        <v>4</v>
      </c>
      <c r="F29" s="14">
        <v>22831</v>
      </c>
      <c r="G29" s="14">
        <v>91324</v>
      </c>
      <c r="H29" s="13" t="s">
        <v>12</v>
      </c>
      <c r="I29" s="13" t="s">
        <v>13</v>
      </c>
    </row>
    <row r="30" spans="1:9" x14ac:dyDescent="0.3">
      <c r="A30" s="12">
        <v>45665</v>
      </c>
      <c r="B30" s="13" t="s">
        <v>9</v>
      </c>
      <c r="C30" s="13" t="s">
        <v>25</v>
      </c>
      <c r="D30" s="13" t="s">
        <v>24</v>
      </c>
      <c r="E30" s="13">
        <v>2</v>
      </c>
      <c r="F30" s="14">
        <v>57628</v>
      </c>
      <c r="G30" s="14">
        <v>115256</v>
      </c>
      <c r="H30" s="13" t="s">
        <v>12</v>
      </c>
      <c r="I30" s="13" t="s">
        <v>13</v>
      </c>
    </row>
    <row r="31" spans="1:9" x14ac:dyDescent="0.3">
      <c r="A31" s="12">
        <v>45665</v>
      </c>
      <c r="B31" s="13" t="s">
        <v>17</v>
      </c>
      <c r="C31" s="13" t="s">
        <v>15</v>
      </c>
      <c r="D31" s="13" t="s">
        <v>24</v>
      </c>
      <c r="E31" s="13">
        <v>9</v>
      </c>
      <c r="F31" s="14">
        <v>21263</v>
      </c>
      <c r="G31" s="14">
        <v>191367</v>
      </c>
      <c r="H31" s="13" t="s">
        <v>12</v>
      </c>
      <c r="I31" s="13" t="s">
        <v>13</v>
      </c>
    </row>
    <row r="32" spans="1:9" x14ac:dyDescent="0.3">
      <c r="A32" s="12">
        <v>45665</v>
      </c>
      <c r="B32" s="13" t="s">
        <v>23</v>
      </c>
      <c r="C32" s="13" t="s">
        <v>15</v>
      </c>
      <c r="D32" s="13" t="s">
        <v>16</v>
      </c>
      <c r="E32" s="13">
        <v>5</v>
      </c>
      <c r="F32" s="14">
        <v>21777</v>
      </c>
      <c r="G32" s="14">
        <v>108885</v>
      </c>
      <c r="H32" s="13" t="s">
        <v>12</v>
      </c>
      <c r="I32" s="13" t="s">
        <v>13</v>
      </c>
    </row>
    <row r="33" spans="1:9" x14ac:dyDescent="0.3">
      <c r="A33" s="12">
        <v>45666</v>
      </c>
      <c r="B33" s="13" t="s">
        <v>23</v>
      </c>
      <c r="C33" s="13" t="s">
        <v>22</v>
      </c>
      <c r="D33" s="13" t="s">
        <v>24</v>
      </c>
      <c r="E33" s="13">
        <v>2</v>
      </c>
      <c r="F33" s="14">
        <v>7798</v>
      </c>
      <c r="G33" s="14">
        <v>15596</v>
      </c>
      <c r="H33" s="13" t="s">
        <v>12</v>
      </c>
      <c r="I33" s="13" t="s">
        <v>13</v>
      </c>
    </row>
    <row r="34" spans="1:9" x14ac:dyDescent="0.3">
      <c r="A34" s="12">
        <v>45666</v>
      </c>
      <c r="B34" s="13" t="s">
        <v>9</v>
      </c>
      <c r="C34" s="13" t="s">
        <v>19</v>
      </c>
      <c r="D34" s="13" t="s">
        <v>28</v>
      </c>
      <c r="E34" s="13">
        <v>10</v>
      </c>
      <c r="F34" s="14">
        <v>18097</v>
      </c>
      <c r="G34" s="14">
        <v>180970</v>
      </c>
      <c r="H34" s="13" t="s">
        <v>12</v>
      </c>
      <c r="I34" s="13" t="s">
        <v>13</v>
      </c>
    </row>
    <row r="35" spans="1:9" x14ac:dyDescent="0.3">
      <c r="A35" s="12">
        <v>45666</v>
      </c>
      <c r="B35" s="13" t="s">
        <v>17</v>
      </c>
      <c r="C35" s="13" t="s">
        <v>25</v>
      </c>
      <c r="D35" s="13" t="s">
        <v>14</v>
      </c>
      <c r="E35" s="13">
        <v>1</v>
      </c>
      <c r="F35" s="14">
        <v>53509</v>
      </c>
      <c r="G35" s="14">
        <v>53509</v>
      </c>
      <c r="H35" s="13" t="s">
        <v>12</v>
      </c>
      <c r="I35" s="13" t="s">
        <v>13</v>
      </c>
    </row>
    <row r="36" spans="1:9" x14ac:dyDescent="0.3">
      <c r="A36" s="12">
        <v>45666</v>
      </c>
      <c r="B36" s="13" t="s">
        <v>9</v>
      </c>
      <c r="C36" s="13" t="s">
        <v>19</v>
      </c>
      <c r="D36" s="13" t="s">
        <v>14</v>
      </c>
      <c r="E36" s="13">
        <v>9</v>
      </c>
      <c r="F36" s="14">
        <v>17528</v>
      </c>
      <c r="G36" s="14">
        <v>157752</v>
      </c>
      <c r="H36" s="13" t="s">
        <v>12</v>
      </c>
      <c r="I36" s="13" t="s">
        <v>13</v>
      </c>
    </row>
    <row r="37" spans="1:9" x14ac:dyDescent="0.3">
      <c r="A37" s="12">
        <v>45667</v>
      </c>
      <c r="B37" s="13" t="s">
        <v>17</v>
      </c>
      <c r="C37" s="13" t="s">
        <v>22</v>
      </c>
      <c r="D37" s="13" t="s">
        <v>27</v>
      </c>
      <c r="E37" s="13">
        <v>10</v>
      </c>
      <c r="F37" s="14">
        <v>8060</v>
      </c>
      <c r="G37" s="14">
        <v>80600</v>
      </c>
      <c r="H37" s="13" t="s">
        <v>12</v>
      </c>
      <c r="I37" s="13" t="s">
        <v>13</v>
      </c>
    </row>
    <row r="38" spans="1:9" x14ac:dyDescent="0.3">
      <c r="A38" s="12">
        <v>45667</v>
      </c>
      <c r="B38" s="13" t="s">
        <v>17</v>
      </c>
      <c r="C38" s="13" t="s">
        <v>21</v>
      </c>
      <c r="D38" s="13" t="s">
        <v>18</v>
      </c>
      <c r="E38" s="13">
        <v>4</v>
      </c>
      <c r="F38" s="14">
        <v>3358</v>
      </c>
      <c r="G38" s="14">
        <v>13432</v>
      </c>
      <c r="H38" s="13" t="s">
        <v>12</v>
      </c>
      <c r="I38" s="13" t="s">
        <v>13</v>
      </c>
    </row>
    <row r="39" spans="1:9" x14ac:dyDescent="0.3">
      <c r="A39" s="12">
        <v>45667</v>
      </c>
      <c r="B39" s="13" t="s">
        <v>23</v>
      </c>
      <c r="C39" s="13" t="s">
        <v>19</v>
      </c>
      <c r="D39" s="13" t="s">
        <v>18</v>
      </c>
      <c r="E39" s="13">
        <v>7</v>
      </c>
      <c r="F39" s="14">
        <v>17940</v>
      </c>
      <c r="G39" s="14">
        <v>125580</v>
      </c>
      <c r="H39" s="13" t="s">
        <v>12</v>
      </c>
      <c r="I39" s="13" t="s">
        <v>13</v>
      </c>
    </row>
    <row r="40" spans="1:9" x14ac:dyDescent="0.3">
      <c r="A40" s="12">
        <v>45667</v>
      </c>
      <c r="B40" s="13" t="s">
        <v>9</v>
      </c>
      <c r="C40" s="13" t="s">
        <v>10</v>
      </c>
      <c r="D40" s="13" t="s">
        <v>14</v>
      </c>
      <c r="E40" s="13">
        <v>1</v>
      </c>
      <c r="F40" s="14">
        <v>11883</v>
      </c>
      <c r="G40" s="14">
        <v>11883</v>
      </c>
      <c r="H40" s="13" t="s">
        <v>12</v>
      </c>
      <c r="I40" s="13" t="s">
        <v>13</v>
      </c>
    </row>
    <row r="41" spans="1:9" x14ac:dyDescent="0.3">
      <c r="A41" s="12">
        <v>45667</v>
      </c>
      <c r="B41" s="13" t="s">
        <v>20</v>
      </c>
      <c r="C41" s="13" t="s">
        <v>25</v>
      </c>
      <c r="D41" s="13" t="s">
        <v>16</v>
      </c>
      <c r="E41" s="13">
        <v>4</v>
      </c>
      <c r="F41" s="14">
        <v>53296</v>
      </c>
      <c r="G41" s="14">
        <v>213184</v>
      </c>
      <c r="H41" s="13" t="s">
        <v>12</v>
      </c>
      <c r="I41" s="13" t="s">
        <v>13</v>
      </c>
    </row>
    <row r="42" spans="1:9" x14ac:dyDescent="0.3">
      <c r="A42" s="12">
        <v>45668</v>
      </c>
      <c r="B42" s="13" t="s">
        <v>17</v>
      </c>
      <c r="C42" s="13" t="s">
        <v>21</v>
      </c>
      <c r="D42" s="13" t="s">
        <v>27</v>
      </c>
      <c r="E42" s="13">
        <v>5</v>
      </c>
      <c r="F42" s="14">
        <v>3486</v>
      </c>
      <c r="G42" s="14">
        <v>17430</v>
      </c>
      <c r="H42" s="13" t="s">
        <v>12</v>
      </c>
      <c r="I42" s="13" t="s">
        <v>13</v>
      </c>
    </row>
    <row r="43" spans="1:9" x14ac:dyDescent="0.3">
      <c r="A43" s="12">
        <v>45668</v>
      </c>
      <c r="B43" s="13" t="s">
        <v>9</v>
      </c>
      <c r="C43" s="13" t="s">
        <v>21</v>
      </c>
      <c r="D43" s="13" t="s">
        <v>14</v>
      </c>
      <c r="E43" s="13">
        <v>1</v>
      </c>
      <c r="F43" s="14">
        <v>3553</v>
      </c>
      <c r="G43" s="14">
        <v>3553</v>
      </c>
      <c r="H43" s="13" t="s">
        <v>12</v>
      </c>
      <c r="I43" s="13" t="s">
        <v>13</v>
      </c>
    </row>
    <row r="44" spans="1:9" x14ac:dyDescent="0.3">
      <c r="A44" s="12">
        <v>45668</v>
      </c>
      <c r="B44" s="13" t="s">
        <v>9</v>
      </c>
      <c r="C44" s="13" t="s">
        <v>25</v>
      </c>
      <c r="D44" s="13" t="s">
        <v>16</v>
      </c>
      <c r="E44" s="13">
        <v>3</v>
      </c>
      <c r="F44" s="14">
        <v>54485</v>
      </c>
      <c r="G44" s="14">
        <v>163455</v>
      </c>
      <c r="H44" s="13" t="s">
        <v>12</v>
      </c>
      <c r="I44" s="13" t="s">
        <v>13</v>
      </c>
    </row>
    <row r="45" spans="1:9" x14ac:dyDescent="0.3">
      <c r="A45" s="12">
        <v>45668</v>
      </c>
      <c r="B45" s="13" t="s">
        <v>23</v>
      </c>
      <c r="C45" s="13" t="s">
        <v>15</v>
      </c>
      <c r="D45" s="13" t="s">
        <v>18</v>
      </c>
      <c r="E45" s="13">
        <v>1</v>
      </c>
      <c r="F45" s="14">
        <v>21262</v>
      </c>
      <c r="G45" s="14">
        <v>21262</v>
      </c>
      <c r="H45" s="13" t="s">
        <v>12</v>
      </c>
      <c r="I45" s="13" t="s">
        <v>13</v>
      </c>
    </row>
    <row r="46" spans="1:9" x14ac:dyDescent="0.3">
      <c r="A46" s="12">
        <v>45668</v>
      </c>
      <c r="B46" s="13" t="s">
        <v>9</v>
      </c>
      <c r="C46" s="13" t="s">
        <v>21</v>
      </c>
      <c r="D46" s="13" t="s">
        <v>11</v>
      </c>
      <c r="E46" s="13">
        <v>8</v>
      </c>
      <c r="F46" s="14">
        <v>3424</v>
      </c>
      <c r="G46" s="14">
        <v>27392</v>
      </c>
      <c r="H46" s="13" t="s">
        <v>12</v>
      </c>
      <c r="I46" s="13" t="s">
        <v>13</v>
      </c>
    </row>
    <row r="47" spans="1:9" x14ac:dyDescent="0.3">
      <c r="A47" s="12">
        <v>45669</v>
      </c>
      <c r="B47" s="13" t="s">
        <v>23</v>
      </c>
      <c r="C47" s="13" t="s">
        <v>15</v>
      </c>
      <c r="D47" s="13" t="s">
        <v>16</v>
      </c>
      <c r="E47" s="13">
        <v>5</v>
      </c>
      <c r="F47" s="14">
        <v>21378</v>
      </c>
      <c r="G47" s="14">
        <v>106890</v>
      </c>
      <c r="H47" s="13" t="s">
        <v>12</v>
      </c>
      <c r="I47" s="13" t="s">
        <v>13</v>
      </c>
    </row>
    <row r="48" spans="1:9" x14ac:dyDescent="0.3">
      <c r="A48" s="12">
        <v>45669</v>
      </c>
      <c r="B48" s="13" t="s">
        <v>9</v>
      </c>
      <c r="C48" s="13" t="s">
        <v>22</v>
      </c>
      <c r="D48" s="13" t="s">
        <v>28</v>
      </c>
      <c r="E48" s="13">
        <v>6</v>
      </c>
      <c r="F48" s="14">
        <v>7645</v>
      </c>
      <c r="G48" s="14">
        <v>45870</v>
      </c>
      <c r="H48" s="13" t="s">
        <v>12</v>
      </c>
      <c r="I48" s="13" t="s">
        <v>13</v>
      </c>
    </row>
    <row r="49" spans="1:9" x14ac:dyDescent="0.3">
      <c r="A49" s="12">
        <v>45669</v>
      </c>
      <c r="B49" s="13" t="s">
        <v>23</v>
      </c>
      <c r="C49" s="13" t="s">
        <v>22</v>
      </c>
      <c r="D49" s="13" t="s">
        <v>27</v>
      </c>
      <c r="E49" s="13">
        <v>1</v>
      </c>
      <c r="F49" s="14">
        <v>8368</v>
      </c>
      <c r="G49" s="14">
        <v>8368</v>
      </c>
      <c r="H49" s="13" t="s">
        <v>12</v>
      </c>
      <c r="I49" s="13" t="s">
        <v>13</v>
      </c>
    </row>
    <row r="50" spans="1:9" x14ac:dyDescent="0.3">
      <c r="A50" s="12">
        <v>45669</v>
      </c>
      <c r="B50" s="13" t="s">
        <v>9</v>
      </c>
      <c r="C50" s="13" t="s">
        <v>15</v>
      </c>
      <c r="D50" s="13" t="s">
        <v>14</v>
      </c>
      <c r="E50" s="13">
        <v>10</v>
      </c>
      <c r="F50" s="14">
        <v>21049</v>
      </c>
      <c r="G50" s="14">
        <v>210490</v>
      </c>
      <c r="H50" s="13" t="s">
        <v>12</v>
      </c>
      <c r="I50" s="13" t="s">
        <v>13</v>
      </c>
    </row>
    <row r="51" spans="1:9" x14ac:dyDescent="0.3">
      <c r="A51" s="12">
        <v>45669</v>
      </c>
      <c r="B51" s="13" t="s">
        <v>17</v>
      </c>
      <c r="C51" s="13" t="s">
        <v>21</v>
      </c>
      <c r="D51" s="13" t="s">
        <v>14</v>
      </c>
      <c r="E51" s="13">
        <v>10</v>
      </c>
      <c r="F51" s="14">
        <v>3411</v>
      </c>
      <c r="G51" s="14">
        <v>34110</v>
      </c>
      <c r="H51" s="13" t="s">
        <v>12</v>
      </c>
      <c r="I51" s="13" t="s">
        <v>13</v>
      </c>
    </row>
    <row r="52" spans="1:9" x14ac:dyDescent="0.3">
      <c r="A52" s="12">
        <v>45669</v>
      </c>
      <c r="B52" s="13" t="s">
        <v>9</v>
      </c>
      <c r="C52" s="13" t="s">
        <v>22</v>
      </c>
      <c r="D52" s="13" t="s">
        <v>14</v>
      </c>
      <c r="E52" s="13">
        <v>7</v>
      </c>
      <c r="F52" s="14">
        <v>8125</v>
      </c>
      <c r="G52" s="14">
        <v>56875</v>
      </c>
      <c r="H52" s="13" t="s">
        <v>12</v>
      </c>
      <c r="I52" s="13" t="s">
        <v>13</v>
      </c>
    </row>
    <row r="53" spans="1:9" x14ac:dyDescent="0.3">
      <c r="A53" s="12">
        <v>45670</v>
      </c>
      <c r="B53" s="13" t="s">
        <v>20</v>
      </c>
      <c r="C53" s="13" t="s">
        <v>19</v>
      </c>
      <c r="D53" s="13" t="s">
        <v>16</v>
      </c>
      <c r="E53" s="13">
        <v>6</v>
      </c>
      <c r="F53" s="14">
        <v>17529</v>
      </c>
      <c r="G53" s="14">
        <v>105174</v>
      </c>
      <c r="H53" s="13" t="s">
        <v>12</v>
      </c>
      <c r="I53" s="13" t="s">
        <v>13</v>
      </c>
    </row>
    <row r="54" spans="1:9" x14ac:dyDescent="0.3">
      <c r="A54" s="12">
        <v>45670</v>
      </c>
      <c r="B54" s="13" t="s">
        <v>23</v>
      </c>
      <c r="C54" s="13" t="s">
        <v>15</v>
      </c>
      <c r="D54" s="13" t="s">
        <v>11</v>
      </c>
      <c r="E54" s="13">
        <v>8</v>
      </c>
      <c r="F54" s="14">
        <v>21595</v>
      </c>
      <c r="G54" s="14">
        <v>172760</v>
      </c>
      <c r="H54" s="13" t="s">
        <v>12</v>
      </c>
      <c r="I54" s="13" t="s">
        <v>13</v>
      </c>
    </row>
    <row r="55" spans="1:9" x14ac:dyDescent="0.3">
      <c r="A55" s="12">
        <v>45670</v>
      </c>
      <c r="B55" s="13" t="s">
        <v>9</v>
      </c>
      <c r="C55" s="13" t="s">
        <v>25</v>
      </c>
      <c r="D55" s="13" t="s">
        <v>24</v>
      </c>
      <c r="E55" s="13">
        <v>10</v>
      </c>
      <c r="F55" s="14">
        <v>57741</v>
      </c>
      <c r="G55" s="14">
        <v>577410</v>
      </c>
      <c r="H55" s="13" t="s">
        <v>12</v>
      </c>
      <c r="I55" s="13" t="s">
        <v>13</v>
      </c>
    </row>
    <row r="56" spans="1:9" x14ac:dyDescent="0.3">
      <c r="A56" s="12">
        <v>45670</v>
      </c>
      <c r="B56" s="13" t="s">
        <v>9</v>
      </c>
      <c r="C56" s="13" t="s">
        <v>25</v>
      </c>
      <c r="D56" s="13" t="s">
        <v>16</v>
      </c>
      <c r="E56" s="13">
        <v>9</v>
      </c>
      <c r="F56" s="14">
        <v>53708</v>
      </c>
      <c r="G56" s="14">
        <v>483372</v>
      </c>
      <c r="H56" s="13" t="s">
        <v>12</v>
      </c>
      <c r="I56" s="13" t="s">
        <v>13</v>
      </c>
    </row>
    <row r="57" spans="1:9" x14ac:dyDescent="0.3">
      <c r="A57" s="12">
        <v>45670</v>
      </c>
      <c r="B57" s="13" t="s">
        <v>20</v>
      </c>
      <c r="C57" s="13" t="s">
        <v>25</v>
      </c>
      <c r="D57" s="13" t="s">
        <v>16</v>
      </c>
      <c r="E57" s="13">
        <v>6</v>
      </c>
      <c r="F57" s="14">
        <v>53817</v>
      </c>
      <c r="G57" s="14">
        <v>322902</v>
      </c>
      <c r="H57" s="13" t="s">
        <v>12</v>
      </c>
      <c r="I57" s="13" t="s">
        <v>13</v>
      </c>
    </row>
    <row r="58" spans="1:9" x14ac:dyDescent="0.3">
      <c r="A58" s="12">
        <v>45670</v>
      </c>
      <c r="B58" s="13" t="s">
        <v>23</v>
      </c>
      <c r="C58" s="13" t="s">
        <v>22</v>
      </c>
      <c r="D58" s="13" t="s">
        <v>11</v>
      </c>
      <c r="E58" s="13">
        <v>10</v>
      </c>
      <c r="F58" s="14">
        <v>8387</v>
      </c>
      <c r="G58" s="14">
        <v>83870</v>
      </c>
      <c r="H58" s="13" t="s">
        <v>12</v>
      </c>
      <c r="I58" s="13" t="s">
        <v>13</v>
      </c>
    </row>
    <row r="59" spans="1:9" x14ac:dyDescent="0.3">
      <c r="A59" s="12">
        <v>45671</v>
      </c>
      <c r="B59" s="13" t="s">
        <v>9</v>
      </c>
      <c r="C59" s="13" t="s">
        <v>10</v>
      </c>
      <c r="D59" s="13" t="s">
        <v>11</v>
      </c>
      <c r="E59" s="13">
        <v>2</v>
      </c>
      <c r="F59" s="14">
        <v>12526</v>
      </c>
      <c r="G59" s="14">
        <v>25052</v>
      </c>
      <c r="H59" s="13" t="s">
        <v>12</v>
      </c>
      <c r="I59" s="13" t="s">
        <v>13</v>
      </c>
    </row>
    <row r="60" spans="1:9" x14ac:dyDescent="0.3">
      <c r="A60" s="12">
        <v>45671</v>
      </c>
      <c r="B60" s="13" t="s">
        <v>17</v>
      </c>
      <c r="C60" s="13" t="s">
        <v>19</v>
      </c>
      <c r="D60" s="13" t="s">
        <v>14</v>
      </c>
      <c r="E60" s="13">
        <v>2</v>
      </c>
      <c r="F60" s="14">
        <v>18436</v>
      </c>
      <c r="G60" s="14">
        <v>36872</v>
      </c>
      <c r="H60" s="13" t="s">
        <v>12</v>
      </c>
      <c r="I60" s="13" t="s">
        <v>13</v>
      </c>
    </row>
    <row r="61" spans="1:9" x14ac:dyDescent="0.3">
      <c r="A61" s="12">
        <v>45671</v>
      </c>
      <c r="B61" s="13" t="s">
        <v>17</v>
      </c>
      <c r="C61" s="13" t="s">
        <v>19</v>
      </c>
      <c r="D61" s="13" t="s">
        <v>11</v>
      </c>
      <c r="E61" s="13">
        <v>10</v>
      </c>
      <c r="F61" s="14">
        <v>17479</v>
      </c>
      <c r="G61" s="14">
        <v>174790</v>
      </c>
      <c r="H61" s="13" t="s">
        <v>12</v>
      </c>
      <c r="I61" s="13" t="s">
        <v>13</v>
      </c>
    </row>
    <row r="62" spans="1:9" x14ac:dyDescent="0.3">
      <c r="A62" s="12">
        <v>45671</v>
      </c>
      <c r="B62" s="13" t="s">
        <v>20</v>
      </c>
      <c r="C62" s="13" t="s">
        <v>15</v>
      </c>
      <c r="D62" s="13" t="s">
        <v>11</v>
      </c>
      <c r="E62" s="13">
        <v>9</v>
      </c>
      <c r="F62" s="14">
        <v>21974</v>
      </c>
      <c r="G62" s="14">
        <v>197766</v>
      </c>
      <c r="H62" s="13" t="s">
        <v>12</v>
      </c>
      <c r="I62" s="13" t="s">
        <v>13</v>
      </c>
    </row>
    <row r="63" spans="1:9" x14ac:dyDescent="0.3">
      <c r="A63" s="12">
        <v>45671</v>
      </c>
      <c r="B63" s="13" t="s">
        <v>9</v>
      </c>
      <c r="C63" s="13" t="s">
        <v>25</v>
      </c>
      <c r="D63" s="13" t="s">
        <v>18</v>
      </c>
      <c r="E63" s="13">
        <v>5</v>
      </c>
      <c r="F63" s="14">
        <v>52492</v>
      </c>
      <c r="G63" s="14">
        <v>262460</v>
      </c>
      <c r="H63" s="13" t="s">
        <v>12</v>
      </c>
      <c r="I63" s="13" t="s">
        <v>13</v>
      </c>
    </row>
    <row r="64" spans="1:9" x14ac:dyDescent="0.3">
      <c r="A64" s="12">
        <v>45671</v>
      </c>
      <c r="B64" s="13" t="s">
        <v>20</v>
      </c>
      <c r="C64" s="13" t="s">
        <v>15</v>
      </c>
      <c r="D64" s="13" t="s">
        <v>11</v>
      </c>
      <c r="E64" s="13">
        <v>3</v>
      </c>
      <c r="F64" s="14">
        <v>22530</v>
      </c>
      <c r="G64" s="14">
        <v>67590</v>
      </c>
      <c r="H64" s="13" t="s">
        <v>12</v>
      </c>
      <c r="I64" s="13" t="s">
        <v>13</v>
      </c>
    </row>
    <row r="65" spans="1:9" x14ac:dyDescent="0.3">
      <c r="A65" s="12">
        <v>45672</v>
      </c>
      <c r="B65" s="13" t="s">
        <v>23</v>
      </c>
      <c r="C65" s="13" t="s">
        <v>22</v>
      </c>
      <c r="D65" s="13" t="s">
        <v>28</v>
      </c>
      <c r="E65" s="13">
        <v>2</v>
      </c>
      <c r="F65" s="14">
        <v>7660</v>
      </c>
      <c r="G65" s="14">
        <v>15320</v>
      </c>
      <c r="H65" s="13" t="s">
        <v>12</v>
      </c>
      <c r="I65" s="13" t="s">
        <v>13</v>
      </c>
    </row>
    <row r="66" spans="1:9" x14ac:dyDescent="0.3">
      <c r="A66" s="12">
        <v>45672</v>
      </c>
      <c r="B66" s="13" t="s">
        <v>17</v>
      </c>
      <c r="C66" s="13" t="s">
        <v>22</v>
      </c>
      <c r="D66" s="13" t="s">
        <v>28</v>
      </c>
      <c r="E66" s="13">
        <v>6</v>
      </c>
      <c r="F66" s="14">
        <v>8066</v>
      </c>
      <c r="G66" s="14">
        <v>48396</v>
      </c>
      <c r="H66" s="13" t="s">
        <v>12</v>
      </c>
      <c r="I66" s="13" t="s">
        <v>13</v>
      </c>
    </row>
    <row r="67" spans="1:9" x14ac:dyDescent="0.3">
      <c r="A67" s="12">
        <v>45672</v>
      </c>
      <c r="B67" s="13" t="s">
        <v>17</v>
      </c>
      <c r="C67" s="13" t="s">
        <v>21</v>
      </c>
      <c r="D67" s="13" t="s">
        <v>27</v>
      </c>
      <c r="E67" s="13">
        <v>1</v>
      </c>
      <c r="F67" s="14">
        <v>3432</v>
      </c>
      <c r="G67" s="14">
        <v>3432</v>
      </c>
      <c r="H67" s="13" t="s">
        <v>12</v>
      </c>
      <c r="I67" s="13" t="s">
        <v>13</v>
      </c>
    </row>
    <row r="68" spans="1:9" x14ac:dyDescent="0.3">
      <c r="A68" s="12">
        <v>45672</v>
      </c>
      <c r="B68" s="13" t="s">
        <v>9</v>
      </c>
      <c r="C68" s="13" t="s">
        <v>19</v>
      </c>
      <c r="D68" s="13" t="s">
        <v>16</v>
      </c>
      <c r="E68" s="13">
        <v>4</v>
      </c>
      <c r="F68" s="14">
        <v>18300</v>
      </c>
      <c r="G68" s="14">
        <v>73200</v>
      </c>
      <c r="H68" s="13" t="s">
        <v>12</v>
      </c>
      <c r="I68" s="13" t="s">
        <v>13</v>
      </c>
    </row>
    <row r="69" spans="1:9" x14ac:dyDescent="0.3">
      <c r="A69" s="12">
        <v>45672</v>
      </c>
      <c r="B69" s="13" t="s">
        <v>20</v>
      </c>
      <c r="C69" s="13" t="s">
        <v>22</v>
      </c>
      <c r="D69" s="13" t="s">
        <v>18</v>
      </c>
      <c r="E69" s="13">
        <v>10</v>
      </c>
      <c r="F69" s="14">
        <v>8199</v>
      </c>
      <c r="G69" s="14">
        <v>81990</v>
      </c>
      <c r="H69" s="13" t="s">
        <v>12</v>
      </c>
      <c r="I69" s="13" t="s">
        <v>13</v>
      </c>
    </row>
    <row r="70" spans="1:9" x14ac:dyDescent="0.3">
      <c r="A70" s="12">
        <v>45672</v>
      </c>
      <c r="B70" s="13" t="s">
        <v>17</v>
      </c>
      <c r="C70" s="13" t="s">
        <v>15</v>
      </c>
      <c r="D70" s="13" t="s">
        <v>27</v>
      </c>
      <c r="E70" s="13">
        <v>7</v>
      </c>
      <c r="F70" s="14">
        <v>20954</v>
      </c>
      <c r="G70" s="14">
        <v>146678</v>
      </c>
      <c r="H70" s="13" t="s">
        <v>12</v>
      </c>
      <c r="I70" s="13" t="s">
        <v>13</v>
      </c>
    </row>
    <row r="71" spans="1:9" x14ac:dyDescent="0.3">
      <c r="A71" s="12">
        <v>45673</v>
      </c>
      <c r="B71" s="13" t="s">
        <v>23</v>
      </c>
      <c r="C71" s="13" t="s">
        <v>10</v>
      </c>
      <c r="D71" s="13" t="s">
        <v>16</v>
      </c>
      <c r="E71" s="13">
        <v>5</v>
      </c>
      <c r="F71" s="14">
        <v>11591</v>
      </c>
      <c r="G71" s="14">
        <v>57955</v>
      </c>
      <c r="H71" s="13" t="s">
        <v>12</v>
      </c>
      <c r="I71" s="13" t="s">
        <v>13</v>
      </c>
    </row>
    <row r="72" spans="1:9" x14ac:dyDescent="0.3">
      <c r="A72" s="12">
        <v>45673</v>
      </c>
      <c r="B72" s="13" t="s">
        <v>9</v>
      </c>
      <c r="C72" s="13" t="s">
        <v>21</v>
      </c>
      <c r="D72" s="13" t="s">
        <v>28</v>
      </c>
      <c r="E72" s="13">
        <v>8</v>
      </c>
      <c r="F72" s="14">
        <v>3402</v>
      </c>
      <c r="G72" s="14">
        <v>27216</v>
      </c>
      <c r="H72" s="13" t="s">
        <v>12</v>
      </c>
      <c r="I72" s="13" t="s">
        <v>13</v>
      </c>
    </row>
    <row r="73" spans="1:9" x14ac:dyDescent="0.3">
      <c r="A73" s="12">
        <v>45673</v>
      </c>
      <c r="B73" s="13" t="s">
        <v>23</v>
      </c>
      <c r="C73" s="13" t="s">
        <v>19</v>
      </c>
      <c r="D73" s="13" t="s">
        <v>11</v>
      </c>
      <c r="E73" s="13">
        <v>4</v>
      </c>
      <c r="F73" s="14">
        <v>17501</v>
      </c>
      <c r="G73" s="14">
        <v>70004</v>
      </c>
      <c r="H73" s="13" t="s">
        <v>12</v>
      </c>
      <c r="I73" s="13" t="s">
        <v>13</v>
      </c>
    </row>
    <row r="74" spans="1:9" x14ac:dyDescent="0.3">
      <c r="A74" s="12">
        <v>45673</v>
      </c>
      <c r="B74" s="13" t="s">
        <v>17</v>
      </c>
      <c r="C74" s="13" t="s">
        <v>21</v>
      </c>
      <c r="D74" s="13" t="s">
        <v>26</v>
      </c>
      <c r="E74" s="13">
        <v>5</v>
      </c>
      <c r="F74" s="14">
        <v>3627</v>
      </c>
      <c r="G74" s="14">
        <v>18135</v>
      </c>
      <c r="H74" s="13" t="s">
        <v>12</v>
      </c>
      <c r="I74" s="13" t="s">
        <v>13</v>
      </c>
    </row>
    <row r="75" spans="1:9" x14ac:dyDescent="0.3">
      <c r="A75" s="12">
        <v>45674</v>
      </c>
      <c r="B75" s="13" t="s">
        <v>20</v>
      </c>
      <c r="C75" s="13" t="s">
        <v>10</v>
      </c>
      <c r="D75" s="13" t="s">
        <v>18</v>
      </c>
      <c r="E75" s="13">
        <v>9</v>
      </c>
      <c r="F75" s="14">
        <v>11797</v>
      </c>
      <c r="G75" s="14">
        <v>106173</v>
      </c>
      <c r="H75" s="13" t="s">
        <v>12</v>
      </c>
      <c r="I75" s="13" t="s">
        <v>13</v>
      </c>
    </row>
    <row r="76" spans="1:9" x14ac:dyDescent="0.3">
      <c r="A76" s="12">
        <v>45674</v>
      </c>
      <c r="B76" s="13" t="s">
        <v>9</v>
      </c>
      <c r="C76" s="13" t="s">
        <v>25</v>
      </c>
      <c r="D76" s="13" t="s">
        <v>11</v>
      </c>
      <c r="E76" s="13">
        <v>3</v>
      </c>
      <c r="F76" s="14">
        <v>55443</v>
      </c>
      <c r="G76" s="14">
        <v>166329</v>
      </c>
      <c r="H76" s="13" t="s">
        <v>12</v>
      </c>
      <c r="I76" s="13" t="s">
        <v>13</v>
      </c>
    </row>
    <row r="77" spans="1:9" x14ac:dyDescent="0.3">
      <c r="A77" s="12">
        <v>45674</v>
      </c>
      <c r="B77" s="13" t="s">
        <v>20</v>
      </c>
      <c r="C77" s="13" t="s">
        <v>25</v>
      </c>
      <c r="D77" s="13" t="s">
        <v>14</v>
      </c>
      <c r="E77" s="13">
        <v>10</v>
      </c>
      <c r="F77" s="14">
        <v>54640</v>
      </c>
      <c r="G77" s="14">
        <v>546400</v>
      </c>
      <c r="H77" s="13" t="s">
        <v>12</v>
      </c>
      <c r="I77" s="13" t="s">
        <v>13</v>
      </c>
    </row>
    <row r="78" spans="1:9" x14ac:dyDescent="0.3">
      <c r="A78" s="12">
        <v>45674</v>
      </c>
      <c r="B78" s="13" t="s">
        <v>20</v>
      </c>
      <c r="C78" s="13" t="s">
        <v>21</v>
      </c>
      <c r="D78" s="13" t="s">
        <v>14</v>
      </c>
      <c r="E78" s="13">
        <v>7</v>
      </c>
      <c r="F78" s="14">
        <v>3639</v>
      </c>
      <c r="G78" s="14">
        <v>25473</v>
      </c>
      <c r="H78" s="13" t="s">
        <v>12</v>
      </c>
      <c r="I78" s="13" t="s">
        <v>13</v>
      </c>
    </row>
    <row r="79" spans="1:9" x14ac:dyDescent="0.3">
      <c r="A79" s="12">
        <v>45675</v>
      </c>
      <c r="B79" s="13" t="s">
        <v>20</v>
      </c>
      <c r="C79" s="13" t="s">
        <v>25</v>
      </c>
      <c r="D79" s="13" t="s">
        <v>18</v>
      </c>
      <c r="E79" s="13">
        <v>1</v>
      </c>
      <c r="F79" s="14">
        <v>55109</v>
      </c>
      <c r="G79" s="14">
        <v>55109</v>
      </c>
      <c r="H79" s="13" t="s">
        <v>12</v>
      </c>
      <c r="I79" s="13" t="s">
        <v>13</v>
      </c>
    </row>
    <row r="80" spans="1:9" x14ac:dyDescent="0.3">
      <c r="A80" s="12">
        <v>45675</v>
      </c>
      <c r="B80" s="13" t="s">
        <v>17</v>
      </c>
      <c r="C80" s="13" t="s">
        <v>19</v>
      </c>
      <c r="D80" s="13" t="s">
        <v>18</v>
      </c>
      <c r="E80" s="13">
        <v>2</v>
      </c>
      <c r="F80" s="14">
        <v>18807</v>
      </c>
      <c r="G80" s="14">
        <v>37614</v>
      </c>
      <c r="H80" s="13" t="s">
        <v>12</v>
      </c>
      <c r="I80" s="13" t="s">
        <v>13</v>
      </c>
    </row>
    <row r="81" spans="1:9" x14ac:dyDescent="0.3">
      <c r="A81" s="12">
        <v>45675</v>
      </c>
      <c r="B81" s="13" t="s">
        <v>20</v>
      </c>
      <c r="C81" s="13" t="s">
        <v>22</v>
      </c>
      <c r="D81" s="13" t="s">
        <v>26</v>
      </c>
      <c r="E81" s="13">
        <v>2</v>
      </c>
      <c r="F81" s="14">
        <v>8175</v>
      </c>
      <c r="G81" s="14">
        <v>16350</v>
      </c>
      <c r="H81" s="13" t="s">
        <v>12</v>
      </c>
      <c r="I81" s="13" t="s">
        <v>13</v>
      </c>
    </row>
    <row r="82" spans="1:9" x14ac:dyDescent="0.3">
      <c r="A82" s="12">
        <v>45676</v>
      </c>
      <c r="B82" s="13" t="s">
        <v>20</v>
      </c>
      <c r="C82" s="13" t="s">
        <v>10</v>
      </c>
      <c r="D82" s="13" t="s">
        <v>18</v>
      </c>
      <c r="E82" s="13">
        <v>6</v>
      </c>
      <c r="F82" s="14">
        <v>11882</v>
      </c>
      <c r="G82" s="14">
        <v>71292</v>
      </c>
      <c r="H82" s="13" t="s">
        <v>12</v>
      </c>
      <c r="I82" s="13" t="s">
        <v>13</v>
      </c>
    </row>
    <row r="83" spans="1:9" x14ac:dyDescent="0.3">
      <c r="A83" s="12">
        <v>45676</v>
      </c>
      <c r="B83" s="13" t="s">
        <v>20</v>
      </c>
      <c r="C83" s="13" t="s">
        <v>22</v>
      </c>
      <c r="D83" s="13" t="s">
        <v>27</v>
      </c>
      <c r="E83" s="13">
        <v>4</v>
      </c>
      <c r="F83" s="14">
        <v>7936</v>
      </c>
      <c r="G83" s="14">
        <v>31744</v>
      </c>
      <c r="H83" s="13" t="s">
        <v>12</v>
      </c>
      <c r="I83" s="13" t="s">
        <v>13</v>
      </c>
    </row>
    <row r="84" spans="1:9" x14ac:dyDescent="0.3">
      <c r="A84" s="12">
        <v>45676</v>
      </c>
      <c r="B84" s="13" t="s">
        <v>23</v>
      </c>
      <c r="C84" s="13" t="s">
        <v>10</v>
      </c>
      <c r="D84" s="13" t="s">
        <v>27</v>
      </c>
      <c r="E84" s="13">
        <v>10</v>
      </c>
      <c r="F84" s="14">
        <v>12082</v>
      </c>
      <c r="G84" s="14">
        <v>120820</v>
      </c>
      <c r="H84" s="13" t="s">
        <v>12</v>
      </c>
      <c r="I84" s="13" t="s">
        <v>13</v>
      </c>
    </row>
    <row r="85" spans="1:9" x14ac:dyDescent="0.3">
      <c r="A85" s="12">
        <v>45676</v>
      </c>
      <c r="B85" s="13" t="s">
        <v>23</v>
      </c>
      <c r="C85" s="13" t="s">
        <v>22</v>
      </c>
      <c r="D85" s="13" t="s">
        <v>28</v>
      </c>
      <c r="E85" s="13">
        <v>5</v>
      </c>
      <c r="F85" s="14">
        <v>7829</v>
      </c>
      <c r="G85" s="14">
        <v>39145</v>
      </c>
      <c r="H85" s="13" t="s">
        <v>12</v>
      </c>
      <c r="I85" s="13" t="s">
        <v>13</v>
      </c>
    </row>
    <row r="86" spans="1:9" x14ac:dyDescent="0.3">
      <c r="A86" s="12">
        <v>45677</v>
      </c>
      <c r="B86" s="13" t="s">
        <v>20</v>
      </c>
      <c r="C86" s="13" t="s">
        <v>21</v>
      </c>
      <c r="D86" s="13" t="s">
        <v>24</v>
      </c>
      <c r="E86" s="13">
        <v>8</v>
      </c>
      <c r="F86" s="14">
        <v>3561</v>
      </c>
      <c r="G86" s="14">
        <v>28488</v>
      </c>
      <c r="H86" s="13" t="s">
        <v>12</v>
      </c>
      <c r="I86" s="13" t="s">
        <v>13</v>
      </c>
    </row>
    <row r="87" spans="1:9" x14ac:dyDescent="0.3">
      <c r="A87" s="12">
        <v>45677</v>
      </c>
      <c r="B87" s="13" t="s">
        <v>23</v>
      </c>
      <c r="C87" s="13" t="s">
        <v>10</v>
      </c>
      <c r="D87" s="13" t="s">
        <v>27</v>
      </c>
      <c r="E87" s="13">
        <v>2</v>
      </c>
      <c r="F87" s="14">
        <v>11740</v>
      </c>
      <c r="G87" s="14">
        <v>23480</v>
      </c>
      <c r="H87" s="13" t="s">
        <v>12</v>
      </c>
      <c r="I87" s="13" t="s">
        <v>13</v>
      </c>
    </row>
    <row r="88" spans="1:9" x14ac:dyDescent="0.3">
      <c r="A88" s="12">
        <v>45677</v>
      </c>
      <c r="B88" s="13" t="s">
        <v>20</v>
      </c>
      <c r="C88" s="13" t="s">
        <v>25</v>
      </c>
      <c r="D88" s="13" t="s">
        <v>16</v>
      </c>
      <c r="E88" s="13">
        <v>5</v>
      </c>
      <c r="F88" s="14">
        <v>53485</v>
      </c>
      <c r="G88" s="14">
        <v>267425</v>
      </c>
      <c r="H88" s="13" t="s">
        <v>12</v>
      </c>
      <c r="I88" s="13" t="s">
        <v>13</v>
      </c>
    </row>
    <row r="89" spans="1:9" x14ac:dyDescent="0.3">
      <c r="A89" s="12">
        <v>45677</v>
      </c>
      <c r="B89" s="13" t="s">
        <v>17</v>
      </c>
      <c r="C89" s="13" t="s">
        <v>15</v>
      </c>
      <c r="D89" s="13" t="s">
        <v>28</v>
      </c>
      <c r="E89" s="13">
        <v>1</v>
      </c>
      <c r="F89" s="14">
        <v>21438</v>
      </c>
      <c r="G89" s="14">
        <v>21438</v>
      </c>
      <c r="H89" s="13" t="s">
        <v>12</v>
      </c>
      <c r="I89" s="13" t="s">
        <v>13</v>
      </c>
    </row>
    <row r="90" spans="1:9" x14ac:dyDescent="0.3">
      <c r="A90" s="12">
        <v>45677</v>
      </c>
      <c r="B90" s="13" t="s">
        <v>23</v>
      </c>
      <c r="C90" s="13" t="s">
        <v>22</v>
      </c>
      <c r="D90" s="13" t="s">
        <v>14</v>
      </c>
      <c r="E90" s="13">
        <v>8</v>
      </c>
      <c r="F90" s="14">
        <v>7931</v>
      </c>
      <c r="G90" s="14">
        <v>63448</v>
      </c>
      <c r="H90" s="13" t="s">
        <v>12</v>
      </c>
      <c r="I90" s="13" t="s">
        <v>13</v>
      </c>
    </row>
    <row r="91" spans="1:9" x14ac:dyDescent="0.3">
      <c r="A91" s="12">
        <v>45678</v>
      </c>
      <c r="B91" s="13" t="s">
        <v>17</v>
      </c>
      <c r="C91" s="13" t="s">
        <v>10</v>
      </c>
      <c r="D91" s="13" t="s">
        <v>18</v>
      </c>
      <c r="E91" s="13">
        <v>8</v>
      </c>
      <c r="F91" s="14">
        <v>11879</v>
      </c>
      <c r="G91" s="14">
        <v>95032</v>
      </c>
      <c r="H91" s="13" t="s">
        <v>12</v>
      </c>
      <c r="I91" s="13" t="s">
        <v>13</v>
      </c>
    </row>
    <row r="92" spans="1:9" x14ac:dyDescent="0.3">
      <c r="A92" s="12">
        <v>45678</v>
      </c>
      <c r="B92" s="13" t="s">
        <v>17</v>
      </c>
      <c r="C92" s="13" t="s">
        <v>10</v>
      </c>
      <c r="D92" s="13" t="s">
        <v>28</v>
      </c>
      <c r="E92" s="13">
        <v>2</v>
      </c>
      <c r="F92" s="14">
        <v>12334</v>
      </c>
      <c r="G92" s="14">
        <v>24668</v>
      </c>
      <c r="H92" s="13" t="s">
        <v>12</v>
      </c>
      <c r="I92" s="13" t="s">
        <v>13</v>
      </c>
    </row>
    <row r="93" spans="1:9" x14ac:dyDescent="0.3">
      <c r="A93" s="12">
        <v>45678</v>
      </c>
      <c r="B93" s="13" t="s">
        <v>17</v>
      </c>
      <c r="C93" s="13" t="s">
        <v>15</v>
      </c>
      <c r="D93" s="13" t="s">
        <v>24</v>
      </c>
      <c r="E93" s="13">
        <v>1</v>
      </c>
      <c r="F93" s="14">
        <v>22126</v>
      </c>
      <c r="G93" s="14">
        <v>22126</v>
      </c>
      <c r="H93" s="13" t="s">
        <v>12</v>
      </c>
      <c r="I93" s="13" t="s">
        <v>13</v>
      </c>
    </row>
    <row r="94" spans="1:9" x14ac:dyDescent="0.3">
      <c r="A94" s="12">
        <v>45678</v>
      </c>
      <c r="B94" s="13" t="s">
        <v>9</v>
      </c>
      <c r="C94" s="13" t="s">
        <v>21</v>
      </c>
      <c r="D94" s="13" t="s">
        <v>27</v>
      </c>
      <c r="E94" s="13">
        <v>8</v>
      </c>
      <c r="F94" s="14">
        <v>3558</v>
      </c>
      <c r="G94" s="14">
        <v>28464</v>
      </c>
      <c r="H94" s="13" t="s">
        <v>12</v>
      </c>
      <c r="I94" s="13" t="s">
        <v>13</v>
      </c>
    </row>
    <row r="95" spans="1:9" x14ac:dyDescent="0.3">
      <c r="A95" s="12">
        <v>45678</v>
      </c>
      <c r="B95" s="13" t="s">
        <v>20</v>
      </c>
      <c r="C95" s="13" t="s">
        <v>21</v>
      </c>
      <c r="D95" s="13" t="s">
        <v>18</v>
      </c>
      <c r="E95" s="13">
        <v>9</v>
      </c>
      <c r="F95" s="14">
        <v>3481</v>
      </c>
      <c r="G95" s="14">
        <v>31329</v>
      </c>
      <c r="H95" s="13" t="s">
        <v>12</v>
      </c>
      <c r="I95" s="13" t="s">
        <v>13</v>
      </c>
    </row>
    <row r="96" spans="1:9" x14ac:dyDescent="0.3">
      <c r="A96" s="12">
        <v>45678</v>
      </c>
      <c r="B96" s="13" t="s">
        <v>17</v>
      </c>
      <c r="C96" s="13" t="s">
        <v>10</v>
      </c>
      <c r="D96" s="13" t="s">
        <v>24</v>
      </c>
      <c r="E96" s="13">
        <v>8</v>
      </c>
      <c r="F96" s="14">
        <v>11711</v>
      </c>
      <c r="G96" s="14">
        <v>93688</v>
      </c>
      <c r="H96" s="13" t="s">
        <v>12</v>
      </c>
      <c r="I96" s="13" t="s">
        <v>13</v>
      </c>
    </row>
    <row r="97" spans="1:9" x14ac:dyDescent="0.3">
      <c r="A97" s="12">
        <v>45679</v>
      </c>
      <c r="B97" s="13" t="s">
        <v>20</v>
      </c>
      <c r="C97" s="13" t="s">
        <v>22</v>
      </c>
      <c r="D97" s="13" t="s">
        <v>24</v>
      </c>
      <c r="E97" s="13">
        <v>4</v>
      </c>
      <c r="F97" s="14">
        <v>7819</v>
      </c>
      <c r="G97" s="14">
        <v>31276</v>
      </c>
      <c r="H97" s="13" t="s">
        <v>12</v>
      </c>
      <c r="I97" s="13" t="s">
        <v>13</v>
      </c>
    </row>
    <row r="98" spans="1:9" x14ac:dyDescent="0.3">
      <c r="A98" s="12">
        <v>45679</v>
      </c>
      <c r="B98" s="13" t="s">
        <v>9</v>
      </c>
      <c r="C98" s="13" t="s">
        <v>10</v>
      </c>
      <c r="D98" s="13" t="s">
        <v>11</v>
      </c>
      <c r="E98" s="13">
        <v>4</v>
      </c>
      <c r="F98" s="14">
        <v>11726</v>
      </c>
      <c r="G98" s="14">
        <v>46904</v>
      </c>
      <c r="H98" s="13" t="s">
        <v>12</v>
      </c>
      <c r="I98" s="13" t="s">
        <v>13</v>
      </c>
    </row>
    <row r="99" spans="1:9" x14ac:dyDescent="0.3">
      <c r="A99" s="12">
        <v>45679</v>
      </c>
      <c r="B99" s="13" t="s">
        <v>20</v>
      </c>
      <c r="C99" s="13" t="s">
        <v>22</v>
      </c>
      <c r="D99" s="13" t="s">
        <v>14</v>
      </c>
      <c r="E99" s="13">
        <v>3</v>
      </c>
      <c r="F99" s="14">
        <v>7720</v>
      </c>
      <c r="G99" s="14">
        <v>23160</v>
      </c>
      <c r="H99" s="13" t="s">
        <v>12</v>
      </c>
      <c r="I99" s="13" t="s">
        <v>13</v>
      </c>
    </row>
    <row r="100" spans="1:9" x14ac:dyDescent="0.3">
      <c r="A100" s="12">
        <v>45680</v>
      </c>
      <c r="B100" s="13" t="s">
        <v>17</v>
      </c>
      <c r="C100" s="13" t="s">
        <v>10</v>
      </c>
      <c r="D100" s="13" t="s">
        <v>16</v>
      </c>
      <c r="E100" s="13">
        <v>2</v>
      </c>
      <c r="F100" s="14">
        <v>11897</v>
      </c>
      <c r="G100" s="14">
        <v>23794</v>
      </c>
      <c r="H100" s="13" t="s">
        <v>12</v>
      </c>
      <c r="I100" s="13" t="s">
        <v>13</v>
      </c>
    </row>
    <row r="101" spans="1:9" x14ac:dyDescent="0.3">
      <c r="A101" s="12">
        <v>45680</v>
      </c>
      <c r="B101" s="13" t="s">
        <v>20</v>
      </c>
      <c r="C101" s="13" t="s">
        <v>22</v>
      </c>
      <c r="D101" s="13" t="s">
        <v>24</v>
      </c>
      <c r="E101" s="13">
        <v>7</v>
      </c>
      <c r="F101" s="14">
        <v>7649</v>
      </c>
      <c r="G101" s="14">
        <v>53543</v>
      </c>
      <c r="H101" s="13" t="s">
        <v>12</v>
      </c>
      <c r="I101" s="13" t="s">
        <v>13</v>
      </c>
    </row>
    <row r="102" spans="1:9" x14ac:dyDescent="0.3">
      <c r="A102" s="12">
        <v>45680</v>
      </c>
      <c r="B102" s="13" t="s">
        <v>23</v>
      </c>
      <c r="C102" s="13" t="s">
        <v>21</v>
      </c>
      <c r="D102" s="13" t="s">
        <v>28</v>
      </c>
      <c r="E102" s="13">
        <v>10</v>
      </c>
      <c r="F102" s="14">
        <v>3458</v>
      </c>
      <c r="G102" s="14">
        <v>34580</v>
      </c>
      <c r="H102" s="13" t="s">
        <v>12</v>
      </c>
      <c r="I102" s="13" t="s">
        <v>13</v>
      </c>
    </row>
    <row r="103" spans="1:9" x14ac:dyDescent="0.3">
      <c r="A103" s="12">
        <v>45680</v>
      </c>
      <c r="B103" s="13" t="s">
        <v>9</v>
      </c>
      <c r="C103" s="13" t="s">
        <v>19</v>
      </c>
      <c r="D103" s="13" t="s">
        <v>11</v>
      </c>
      <c r="E103" s="13">
        <v>7</v>
      </c>
      <c r="F103" s="14">
        <v>18636</v>
      </c>
      <c r="G103" s="14">
        <v>130452</v>
      </c>
      <c r="H103" s="13" t="s">
        <v>12</v>
      </c>
      <c r="I103" s="13" t="s">
        <v>13</v>
      </c>
    </row>
    <row r="104" spans="1:9" x14ac:dyDescent="0.3">
      <c r="A104" s="12">
        <v>45680</v>
      </c>
      <c r="B104" s="13" t="s">
        <v>23</v>
      </c>
      <c r="C104" s="13" t="s">
        <v>22</v>
      </c>
      <c r="D104" s="13" t="s">
        <v>16</v>
      </c>
      <c r="E104" s="13">
        <v>8</v>
      </c>
      <c r="F104" s="14">
        <v>7775</v>
      </c>
      <c r="G104" s="14">
        <v>62200</v>
      </c>
      <c r="H104" s="13" t="s">
        <v>12</v>
      </c>
      <c r="I104" s="13" t="s">
        <v>13</v>
      </c>
    </row>
    <row r="105" spans="1:9" x14ac:dyDescent="0.3">
      <c r="A105" s="12">
        <v>45681</v>
      </c>
      <c r="B105" s="13" t="s">
        <v>23</v>
      </c>
      <c r="C105" s="13" t="s">
        <v>25</v>
      </c>
      <c r="D105" s="13" t="s">
        <v>18</v>
      </c>
      <c r="E105" s="13">
        <v>6</v>
      </c>
      <c r="F105" s="14">
        <v>55928</v>
      </c>
      <c r="G105" s="14">
        <v>335568</v>
      </c>
      <c r="H105" s="13" t="s">
        <v>12</v>
      </c>
      <c r="I105" s="13" t="s">
        <v>13</v>
      </c>
    </row>
    <row r="106" spans="1:9" x14ac:dyDescent="0.3">
      <c r="A106" s="12">
        <v>45681</v>
      </c>
      <c r="B106" s="13" t="s">
        <v>23</v>
      </c>
      <c r="C106" s="13" t="s">
        <v>10</v>
      </c>
      <c r="D106" s="13" t="s">
        <v>27</v>
      </c>
      <c r="E106" s="13">
        <v>8</v>
      </c>
      <c r="F106" s="14">
        <v>12503</v>
      </c>
      <c r="G106" s="14">
        <v>100024</v>
      </c>
      <c r="H106" s="13" t="s">
        <v>12</v>
      </c>
      <c r="I106" s="13" t="s">
        <v>13</v>
      </c>
    </row>
    <row r="107" spans="1:9" x14ac:dyDescent="0.3">
      <c r="A107" s="12">
        <v>45681</v>
      </c>
      <c r="B107" s="13" t="s">
        <v>9</v>
      </c>
      <c r="C107" s="13" t="s">
        <v>21</v>
      </c>
      <c r="D107" s="13" t="s">
        <v>28</v>
      </c>
      <c r="E107" s="13">
        <v>2</v>
      </c>
      <c r="F107" s="14">
        <v>3549</v>
      </c>
      <c r="G107" s="14">
        <v>7098</v>
      </c>
      <c r="H107" s="13" t="s">
        <v>12</v>
      </c>
      <c r="I107" s="13" t="s">
        <v>13</v>
      </c>
    </row>
    <row r="108" spans="1:9" x14ac:dyDescent="0.3">
      <c r="A108" s="12">
        <v>45681</v>
      </c>
      <c r="B108" s="13" t="s">
        <v>17</v>
      </c>
      <c r="C108" s="13" t="s">
        <v>21</v>
      </c>
      <c r="D108" s="13" t="s">
        <v>27</v>
      </c>
      <c r="E108" s="13">
        <v>1</v>
      </c>
      <c r="F108" s="14">
        <v>3416</v>
      </c>
      <c r="G108" s="14">
        <v>3416</v>
      </c>
      <c r="H108" s="13" t="s">
        <v>12</v>
      </c>
      <c r="I108" s="13" t="s">
        <v>13</v>
      </c>
    </row>
    <row r="109" spans="1:9" x14ac:dyDescent="0.3">
      <c r="A109" s="12">
        <v>45681</v>
      </c>
      <c r="B109" s="13" t="s">
        <v>20</v>
      </c>
      <c r="C109" s="13" t="s">
        <v>15</v>
      </c>
      <c r="D109" s="13" t="s">
        <v>24</v>
      </c>
      <c r="E109" s="13">
        <v>6</v>
      </c>
      <c r="F109" s="14">
        <v>21642</v>
      </c>
      <c r="G109" s="14">
        <v>129852</v>
      </c>
      <c r="H109" s="13" t="s">
        <v>12</v>
      </c>
      <c r="I109" s="13" t="s">
        <v>13</v>
      </c>
    </row>
    <row r="110" spans="1:9" x14ac:dyDescent="0.3">
      <c r="A110" s="12">
        <v>45682</v>
      </c>
      <c r="B110" s="13" t="s">
        <v>20</v>
      </c>
      <c r="C110" s="13" t="s">
        <v>21</v>
      </c>
      <c r="D110" s="13" t="s">
        <v>11</v>
      </c>
      <c r="E110" s="13">
        <v>2</v>
      </c>
      <c r="F110" s="14">
        <v>3489</v>
      </c>
      <c r="G110" s="14">
        <v>6978</v>
      </c>
      <c r="H110" s="13" t="s">
        <v>12</v>
      </c>
      <c r="I110" s="13" t="s">
        <v>13</v>
      </c>
    </row>
    <row r="111" spans="1:9" x14ac:dyDescent="0.3">
      <c r="A111" s="12">
        <v>45682</v>
      </c>
      <c r="B111" s="13" t="s">
        <v>9</v>
      </c>
      <c r="C111" s="13" t="s">
        <v>19</v>
      </c>
      <c r="D111" s="13" t="s">
        <v>16</v>
      </c>
      <c r="E111" s="13">
        <v>2</v>
      </c>
      <c r="F111" s="14">
        <v>18506</v>
      </c>
      <c r="G111" s="14">
        <v>37012</v>
      </c>
      <c r="H111" s="13" t="s">
        <v>12</v>
      </c>
      <c r="I111" s="13" t="s">
        <v>13</v>
      </c>
    </row>
    <row r="112" spans="1:9" x14ac:dyDescent="0.3">
      <c r="A112" s="12">
        <v>45682</v>
      </c>
      <c r="B112" s="13" t="s">
        <v>9</v>
      </c>
      <c r="C112" s="13" t="s">
        <v>25</v>
      </c>
      <c r="D112" s="13" t="s">
        <v>16</v>
      </c>
      <c r="E112" s="13">
        <v>4</v>
      </c>
      <c r="F112" s="14">
        <v>56865</v>
      </c>
      <c r="G112" s="14">
        <v>227460</v>
      </c>
      <c r="H112" s="13" t="s">
        <v>12</v>
      </c>
      <c r="I112" s="13" t="s">
        <v>13</v>
      </c>
    </row>
    <row r="113" spans="1:9" x14ac:dyDescent="0.3">
      <c r="A113" s="12">
        <v>45682</v>
      </c>
      <c r="B113" s="13" t="s">
        <v>17</v>
      </c>
      <c r="C113" s="13" t="s">
        <v>15</v>
      </c>
      <c r="D113" s="13" t="s">
        <v>27</v>
      </c>
      <c r="E113" s="13">
        <v>8</v>
      </c>
      <c r="F113" s="14">
        <v>22372</v>
      </c>
      <c r="G113" s="14">
        <v>178976</v>
      </c>
      <c r="H113" s="13" t="s">
        <v>12</v>
      </c>
      <c r="I113" s="13" t="s">
        <v>13</v>
      </c>
    </row>
    <row r="114" spans="1:9" x14ac:dyDescent="0.3">
      <c r="A114" s="12">
        <v>45682</v>
      </c>
      <c r="B114" s="13" t="s">
        <v>17</v>
      </c>
      <c r="C114" s="13" t="s">
        <v>21</v>
      </c>
      <c r="D114" s="13" t="s">
        <v>11</v>
      </c>
      <c r="E114" s="13">
        <v>6</v>
      </c>
      <c r="F114" s="14">
        <v>3383</v>
      </c>
      <c r="G114" s="14">
        <v>20298</v>
      </c>
      <c r="H114" s="13" t="s">
        <v>12</v>
      </c>
      <c r="I114" s="13" t="s">
        <v>13</v>
      </c>
    </row>
    <row r="115" spans="1:9" x14ac:dyDescent="0.3">
      <c r="A115" s="12">
        <v>45683</v>
      </c>
      <c r="B115" s="13" t="s">
        <v>9</v>
      </c>
      <c r="C115" s="13" t="s">
        <v>15</v>
      </c>
      <c r="D115" s="13" t="s">
        <v>11</v>
      </c>
      <c r="E115" s="13">
        <v>2</v>
      </c>
      <c r="F115" s="14">
        <v>22173</v>
      </c>
      <c r="G115" s="14">
        <v>44346</v>
      </c>
      <c r="H115" s="13" t="s">
        <v>12</v>
      </c>
      <c r="I115" s="13" t="s">
        <v>13</v>
      </c>
    </row>
    <row r="116" spans="1:9" x14ac:dyDescent="0.3">
      <c r="A116" s="12">
        <v>45683</v>
      </c>
      <c r="B116" s="13" t="s">
        <v>20</v>
      </c>
      <c r="C116" s="13" t="s">
        <v>22</v>
      </c>
      <c r="D116" s="13" t="s">
        <v>18</v>
      </c>
      <c r="E116" s="13">
        <v>7</v>
      </c>
      <c r="F116" s="14">
        <v>8353</v>
      </c>
      <c r="G116" s="14">
        <v>58471</v>
      </c>
      <c r="H116" s="13" t="s">
        <v>12</v>
      </c>
      <c r="I116" s="13" t="s">
        <v>13</v>
      </c>
    </row>
    <row r="117" spans="1:9" x14ac:dyDescent="0.3">
      <c r="A117" s="12">
        <v>45683</v>
      </c>
      <c r="B117" s="13" t="s">
        <v>17</v>
      </c>
      <c r="C117" s="13" t="s">
        <v>25</v>
      </c>
      <c r="D117" s="13" t="s">
        <v>16</v>
      </c>
      <c r="E117" s="13">
        <v>2</v>
      </c>
      <c r="F117" s="14">
        <v>56084</v>
      </c>
      <c r="G117" s="14">
        <v>112168</v>
      </c>
      <c r="H117" s="13" t="s">
        <v>12</v>
      </c>
      <c r="I117" s="13" t="s">
        <v>13</v>
      </c>
    </row>
    <row r="118" spans="1:9" x14ac:dyDescent="0.3">
      <c r="A118" s="12">
        <v>45683</v>
      </c>
      <c r="B118" s="13" t="s">
        <v>20</v>
      </c>
      <c r="C118" s="13" t="s">
        <v>10</v>
      </c>
      <c r="D118" s="13" t="s">
        <v>14</v>
      </c>
      <c r="E118" s="13">
        <v>10</v>
      </c>
      <c r="F118" s="14">
        <v>12339</v>
      </c>
      <c r="G118" s="14">
        <v>123390</v>
      </c>
      <c r="H118" s="13" t="s">
        <v>12</v>
      </c>
      <c r="I118" s="13" t="s">
        <v>13</v>
      </c>
    </row>
    <row r="119" spans="1:9" x14ac:dyDescent="0.3">
      <c r="A119" s="12">
        <v>45683</v>
      </c>
      <c r="B119" s="13" t="s">
        <v>20</v>
      </c>
      <c r="C119" s="13" t="s">
        <v>22</v>
      </c>
      <c r="D119" s="13" t="s">
        <v>18</v>
      </c>
      <c r="E119" s="13">
        <v>6</v>
      </c>
      <c r="F119" s="14">
        <v>7655</v>
      </c>
      <c r="G119" s="14">
        <v>45930</v>
      </c>
      <c r="H119" s="13" t="s">
        <v>12</v>
      </c>
      <c r="I119" s="13" t="s">
        <v>13</v>
      </c>
    </row>
    <row r="120" spans="1:9" x14ac:dyDescent="0.3">
      <c r="A120" s="12">
        <v>45683</v>
      </c>
      <c r="B120" s="13" t="s">
        <v>20</v>
      </c>
      <c r="C120" s="13" t="s">
        <v>25</v>
      </c>
      <c r="D120" s="13" t="s">
        <v>18</v>
      </c>
      <c r="E120" s="13">
        <v>8</v>
      </c>
      <c r="F120" s="14">
        <v>52830</v>
      </c>
      <c r="G120" s="14">
        <v>422640</v>
      </c>
      <c r="H120" s="13" t="s">
        <v>12</v>
      </c>
      <c r="I120" s="13" t="s">
        <v>13</v>
      </c>
    </row>
    <row r="121" spans="1:9" x14ac:dyDescent="0.3">
      <c r="A121" s="12">
        <v>45684</v>
      </c>
      <c r="B121" s="13" t="s">
        <v>23</v>
      </c>
      <c r="C121" s="13" t="s">
        <v>10</v>
      </c>
      <c r="D121" s="13" t="s">
        <v>27</v>
      </c>
      <c r="E121" s="13">
        <v>7</v>
      </c>
      <c r="F121" s="14">
        <v>11611</v>
      </c>
      <c r="G121" s="14">
        <v>81277</v>
      </c>
      <c r="H121" s="13" t="s">
        <v>12</v>
      </c>
      <c r="I121" s="13" t="s">
        <v>13</v>
      </c>
    </row>
    <row r="122" spans="1:9" x14ac:dyDescent="0.3">
      <c r="A122" s="12">
        <v>45684</v>
      </c>
      <c r="B122" s="13" t="s">
        <v>20</v>
      </c>
      <c r="C122" s="13" t="s">
        <v>22</v>
      </c>
      <c r="D122" s="13" t="s">
        <v>24</v>
      </c>
      <c r="E122" s="13">
        <v>8</v>
      </c>
      <c r="F122" s="14">
        <v>7948</v>
      </c>
      <c r="G122" s="14">
        <v>63584</v>
      </c>
      <c r="H122" s="13" t="s">
        <v>12</v>
      </c>
      <c r="I122" s="13" t="s">
        <v>13</v>
      </c>
    </row>
    <row r="123" spans="1:9" x14ac:dyDescent="0.3">
      <c r="A123" s="12">
        <v>45684</v>
      </c>
      <c r="B123" s="13" t="s">
        <v>20</v>
      </c>
      <c r="C123" s="13" t="s">
        <v>19</v>
      </c>
      <c r="D123" s="13" t="s">
        <v>16</v>
      </c>
      <c r="E123" s="13">
        <v>2</v>
      </c>
      <c r="F123" s="14">
        <v>17602</v>
      </c>
      <c r="G123" s="14">
        <v>35204</v>
      </c>
      <c r="H123" s="13" t="s">
        <v>12</v>
      </c>
      <c r="I123" s="13" t="s">
        <v>13</v>
      </c>
    </row>
    <row r="124" spans="1:9" x14ac:dyDescent="0.3">
      <c r="A124" s="12">
        <v>45684</v>
      </c>
      <c r="B124" s="13" t="s">
        <v>23</v>
      </c>
      <c r="C124" s="13" t="s">
        <v>15</v>
      </c>
      <c r="D124" s="13" t="s">
        <v>24</v>
      </c>
      <c r="E124" s="13">
        <v>10</v>
      </c>
      <c r="F124" s="14">
        <v>22242</v>
      </c>
      <c r="G124" s="14">
        <v>222420</v>
      </c>
      <c r="H124" s="13" t="s">
        <v>12</v>
      </c>
      <c r="I124" s="13" t="s">
        <v>13</v>
      </c>
    </row>
    <row r="125" spans="1:9" x14ac:dyDescent="0.3">
      <c r="A125" s="12">
        <v>45685</v>
      </c>
      <c r="B125" s="13" t="s">
        <v>20</v>
      </c>
      <c r="C125" s="13" t="s">
        <v>25</v>
      </c>
      <c r="D125" s="13" t="s">
        <v>24</v>
      </c>
      <c r="E125" s="13">
        <v>6</v>
      </c>
      <c r="F125" s="14">
        <v>53250</v>
      </c>
      <c r="G125" s="14">
        <v>319500</v>
      </c>
      <c r="H125" s="13" t="s">
        <v>12</v>
      </c>
      <c r="I125" s="13" t="s">
        <v>13</v>
      </c>
    </row>
    <row r="126" spans="1:9" x14ac:dyDescent="0.3">
      <c r="A126" s="12">
        <v>45685</v>
      </c>
      <c r="B126" s="13" t="s">
        <v>17</v>
      </c>
      <c r="C126" s="13" t="s">
        <v>19</v>
      </c>
      <c r="D126" s="13" t="s">
        <v>11</v>
      </c>
      <c r="E126" s="13">
        <v>6</v>
      </c>
      <c r="F126" s="14">
        <v>17603</v>
      </c>
      <c r="G126" s="14">
        <v>105618</v>
      </c>
      <c r="H126" s="13" t="s">
        <v>12</v>
      </c>
      <c r="I126" s="13" t="s">
        <v>13</v>
      </c>
    </row>
    <row r="127" spans="1:9" x14ac:dyDescent="0.3">
      <c r="A127" s="12">
        <v>45685</v>
      </c>
      <c r="B127" s="13" t="s">
        <v>20</v>
      </c>
      <c r="C127" s="13" t="s">
        <v>22</v>
      </c>
      <c r="D127" s="13" t="s">
        <v>28</v>
      </c>
      <c r="E127" s="13">
        <v>9</v>
      </c>
      <c r="F127" s="14">
        <v>8358</v>
      </c>
      <c r="G127" s="14">
        <v>75222</v>
      </c>
      <c r="H127" s="13" t="s">
        <v>12</v>
      </c>
      <c r="I127" s="13" t="s">
        <v>13</v>
      </c>
    </row>
    <row r="128" spans="1:9" x14ac:dyDescent="0.3">
      <c r="A128" s="12">
        <v>45685</v>
      </c>
      <c r="B128" s="13" t="s">
        <v>9</v>
      </c>
      <c r="C128" s="13" t="s">
        <v>15</v>
      </c>
      <c r="D128" s="13" t="s">
        <v>18</v>
      </c>
      <c r="E128" s="13">
        <v>8</v>
      </c>
      <c r="F128" s="14">
        <v>22121</v>
      </c>
      <c r="G128" s="14">
        <v>176968</v>
      </c>
      <c r="H128" s="13" t="s">
        <v>12</v>
      </c>
      <c r="I128" s="13" t="s">
        <v>13</v>
      </c>
    </row>
    <row r="129" spans="1:9" x14ac:dyDescent="0.3">
      <c r="A129" s="12">
        <v>45685</v>
      </c>
      <c r="B129" s="13" t="s">
        <v>17</v>
      </c>
      <c r="C129" s="13" t="s">
        <v>10</v>
      </c>
      <c r="D129" s="13" t="s">
        <v>24</v>
      </c>
      <c r="E129" s="13">
        <v>8</v>
      </c>
      <c r="F129" s="14">
        <v>11937</v>
      </c>
      <c r="G129" s="14">
        <v>95496</v>
      </c>
      <c r="H129" s="13" t="s">
        <v>12</v>
      </c>
      <c r="I129" s="13" t="s">
        <v>13</v>
      </c>
    </row>
    <row r="130" spans="1:9" x14ac:dyDescent="0.3">
      <c r="A130" s="12">
        <v>45686</v>
      </c>
      <c r="B130" s="13" t="s">
        <v>9</v>
      </c>
      <c r="C130" s="13" t="s">
        <v>19</v>
      </c>
      <c r="D130" s="13" t="s">
        <v>16</v>
      </c>
      <c r="E130" s="13">
        <v>7</v>
      </c>
      <c r="F130" s="14">
        <v>18345</v>
      </c>
      <c r="G130" s="14">
        <v>128415</v>
      </c>
      <c r="H130" s="13" t="s">
        <v>12</v>
      </c>
      <c r="I130" s="13" t="s">
        <v>13</v>
      </c>
    </row>
    <row r="131" spans="1:9" x14ac:dyDescent="0.3">
      <c r="A131" s="12">
        <v>45686</v>
      </c>
      <c r="B131" s="13" t="s">
        <v>20</v>
      </c>
      <c r="C131" s="13" t="s">
        <v>10</v>
      </c>
      <c r="D131" s="13" t="s">
        <v>26</v>
      </c>
      <c r="E131" s="13">
        <v>8</v>
      </c>
      <c r="F131" s="14">
        <v>12064</v>
      </c>
      <c r="G131" s="14">
        <v>96512</v>
      </c>
      <c r="H131" s="13" t="s">
        <v>12</v>
      </c>
      <c r="I131" s="13" t="s">
        <v>13</v>
      </c>
    </row>
    <row r="132" spans="1:9" x14ac:dyDescent="0.3">
      <c r="A132" s="12">
        <v>45687</v>
      </c>
      <c r="B132" s="13" t="s">
        <v>23</v>
      </c>
      <c r="C132" s="13" t="s">
        <v>10</v>
      </c>
      <c r="D132" s="13" t="s">
        <v>26</v>
      </c>
      <c r="E132" s="13">
        <v>6</v>
      </c>
      <c r="F132" s="14">
        <v>12243</v>
      </c>
      <c r="G132" s="14">
        <v>73458</v>
      </c>
      <c r="H132" s="13" t="s">
        <v>12</v>
      </c>
      <c r="I132" s="13" t="s">
        <v>13</v>
      </c>
    </row>
    <row r="133" spans="1:9" x14ac:dyDescent="0.3">
      <c r="A133" s="12">
        <v>45687</v>
      </c>
      <c r="B133" s="13" t="s">
        <v>20</v>
      </c>
      <c r="C133" s="13" t="s">
        <v>19</v>
      </c>
      <c r="D133" s="13" t="s">
        <v>11</v>
      </c>
      <c r="E133" s="13">
        <v>4</v>
      </c>
      <c r="F133" s="14">
        <v>17317</v>
      </c>
      <c r="G133" s="14">
        <v>69268</v>
      </c>
      <c r="H133" s="13" t="s">
        <v>12</v>
      </c>
      <c r="I133" s="13" t="s">
        <v>13</v>
      </c>
    </row>
    <row r="134" spans="1:9" x14ac:dyDescent="0.3">
      <c r="A134" s="12">
        <v>45687</v>
      </c>
      <c r="B134" s="13" t="s">
        <v>17</v>
      </c>
      <c r="C134" s="13" t="s">
        <v>19</v>
      </c>
      <c r="D134" s="13" t="s">
        <v>14</v>
      </c>
      <c r="E134" s="13">
        <v>9</v>
      </c>
      <c r="F134" s="14">
        <v>18811</v>
      </c>
      <c r="G134" s="14">
        <v>169299</v>
      </c>
      <c r="H134" s="13" t="s">
        <v>12</v>
      </c>
      <c r="I134" s="13" t="s">
        <v>13</v>
      </c>
    </row>
    <row r="135" spans="1:9" x14ac:dyDescent="0.3">
      <c r="A135" s="12">
        <v>45687</v>
      </c>
      <c r="B135" s="13" t="s">
        <v>17</v>
      </c>
      <c r="C135" s="13" t="s">
        <v>15</v>
      </c>
      <c r="D135" s="13" t="s">
        <v>16</v>
      </c>
      <c r="E135" s="13">
        <v>8</v>
      </c>
      <c r="F135" s="14">
        <v>21508</v>
      </c>
      <c r="G135" s="14">
        <v>172064</v>
      </c>
      <c r="H135" s="13" t="s">
        <v>12</v>
      </c>
      <c r="I135" s="13" t="s">
        <v>13</v>
      </c>
    </row>
    <row r="136" spans="1:9" x14ac:dyDescent="0.3">
      <c r="A136" s="12">
        <v>45688</v>
      </c>
      <c r="B136" s="13" t="s">
        <v>20</v>
      </c>
      <c r="C136" s="13" t="s">
        <v>25</v>
      </c>
      <c r="D136" s="13" t="s">
        <v>16</v>
      </c>
      <c r="E136" s="13">
        <v>5</v>
      </c>
      <c r="F136" s="14">
        <v>53501</v>
      </c>
      <c r="G136" s="14">
        <v>267505</v>
      </c>
      <c r="H136" s="13" t="s">
        <v>12</v>
      </c>
      <c r="I136" s="13" t="s">
        <v>13</v>
      </c>
    </row>
    <row r="137" spans="1:9" x14ac:dyDescent="0.3">
      <c r="A137" s="12">
        <v>45688</v>
      </c>
      <c r="B137" s="13" t="s">
        <v>17</v>
      </c>
      <c r="C137" s="13" t="s">
        <v>19</v>
      </c>
      <c r="D137" s="13" t="s">
        <v>28</v>
      </c>
      <c r="E137" s="13">
        <v>9</v>
      </c>
      <c r="F137" s="14">
        <v>17327</v>
      </c>
      <c r="G137" s="14">
        <v>155943</v>
      </c>
      <c r="H137" s="13" t="s">
        <v>12</v>
      </c>
      <c r="I137" s="13" t="s">
        <v>13</v>
      </c>
    </row>
    <row r="138" spans="1:9" x14ac:dyDescent="0.3">
      <c r="A138" s="12">
        <v>45688</v>
      </c>
      <c r="B138" s="13" t="s">
        <v>9</v>
      </c>
      <c r="C138" s="13" t="s">
        <v>25</v>
      </c>
      <c r="D138" s="13" t="s">
        <v>11</v>
      </c>
      <c r="E138" s="13">
        <v>3</v>
      </c>
      <c r="F138" s="14">
        <v>55758</v>
      </c>
      <c r="G138" s="14">
        <v>167274</v>
      </c>
      <c r="H138" s="13" t="s">
        <v>12</v>
      </c>
      <c r="I138" s="13" t="s">
        <v>13</v>
      </c>
    </row>
    <row r="139" spans="1:9" x14ac:dyDescent="0.3">
      <c r="A139" s="12">
        <v>45688</v>
      </c>
      <c r="B139" s="13" t="s">
        <v>23</v>
      </c>
      <c r="C139" s="13" t="s">
        <v>25</v>
      </c>
      <c r="D139" s="13" t="s">
        <v>28</v>
      </c>
      <c r="E139" s="13">
        <v>10</v>
      </c>
      <c r="F139" s="14">
        <v>53813</v>
      </c>
      <c r="G139" s="14">
        <v>538130</v>
      </c>
      <c r="H139" s="13" t="s">
        <v>12</v>
      </c>
      <c r="I139" s="13" t="s">
        <v>13</v>
      </c>
    </row>
    <row r="140" spans="1:9" x14ac:dyDescent="0.3">
      <c r="A140" s="12">
        <v>45688</v>
      </c>
      <c r="B140" s="13" t="s">
        <v>23</v>
      </c>
      <c r="C140" s="13" t="s">
        <v>21</v>
      </c>
      <c r="D140" s="13" t="s">
        <v>26</v>
      </c>
      <c r="E140" s="13">
        <v>3</v>
      </c>
      <c r="F140" s="14">
        <v>3662</v>
      </c>
      <c r="G140" s="14">
        <v>10986</v>
      </c>
      <c r="H140" s="13" t="s">
        <v>12</v>
      </c>
      <c r="I140" s="13" t="s">
        <v>13</v>
      </c>
    </row>
    <row r="141" spans="1:9" x14ac:dyDescent="0.3">
      <c r="A141" s="12">
        <v>45688</v>
      </c>
      <c r="B141" s="13" t="s">
        <v>20</v>
      </c>
      <c r="C141" s="13" t="s">
        <v>21</v>
      </c>
      <c r="D141" s="13" t="s">
        <v>14</v>
      </c>
      <c r="E141" s="13">
        <v>2</v>
      </c>
      <c r="F141" s="14">
        <v>3465</v>
      </c>
      <c r="G141" s="14">
        <v>6930</v>
      </c>
      <c r="H141" s="13" t="s">
        <v>12</v>
      </c>
      <c r="I141" s="13" t="s">
        <v>13</v>
      </c>
    </row>
    <row r="142" spans="1:9" x14ac:dyDescent="0.3">
      <c r="A142" s="12">
        <v>45689</v>
      </c>
      <c r="B142" s="13" t="s">
        <v>9</v>
      </c>
      <c r="C142" s="13" t="s">
        <v>15</v>
      </c>
      <c r="D142" s="13" t="s">
        <v>27</v>
      </c>
      <c r="E142" s="13">
        <v>10</v>
      </c>
      <c r="F142" s="14">
        <v>22988</v>
      </c>
      <c r="G142" s="14">
        <v>229880</v>
      </c>
      <c r="H142" s="13" t="s">
        <v>29</v>
      </c>
      <c r="I142" s="13" t="s">
        <v>30</v>
      </c>
    </row>
    <row r="143" spans="1:9" x14ac:dyDescent="0.3">
      <c r="A143" s="12">
        <v>45689</v>
      </c>
      <c r="B143" s="13" t="s">
        <v>9</v>
      </c>
      <c r="C143" s="13" t="s">
        <v>15</v>
      </c>
      <c r="D143" s="13" t="s">
        <v>14</v>
      </c>
      <c r="E143" s="13">
        <v>9</v>
      </c>
      <c r="F143" s="14">
        <v>22581</v>
      </c>
      <c r="G143" s="14">
        <v>203229</v>
      </c>
      <c r="H143" s="13" t="s">
        <v>29</v>
      </c>
      <c r="I143" s="13" t="s">
        <v>30</v>
      </c>
    </row>
    <row r="144" spans="1:9" x14ac:dyDescent="0.3">
      <c r="A144" s="12">
        <v>45690</v>
      </c>
      <c r="B144" s="13" t="s">
        <v>17</v>
      </c>
      <c r="C144" s="13" t="s">
        <v>22</v>
      </c>
      <c r="D144" s="13" t="s">
        <v>18</v>
      </c>
      <c r="E144" s="13">
        <v>8</v>
      </c>
      <c r="F144" s="14">
        <v>8326</v>
      </c>
      <c r="G144" s="14">
        <v>66608</v>
      </c>
      <c r="H144" s="13" t="s">
        <v>29</v>
      </c>
      <c r="I144" s="13" t="s">
        <v>30</v>
      </c>
    </row>
    <row r="145" spans="1:9" x14ac:dyDescent="0.3">
      <c r="A145" s="12">
        <v>45690</v>
      </c>
      <c r="B145" s="13" t="s">
        <v>20</v>
      </c>
      <c r="C145" s="13" t="s">
        <v>22</v>
      </c>
      <c r="D145" s="13" t="s">
        <v>18</v>
      </c>
      <c r="E145" s="13">
        <v>5</v>
      </c>
      <c r="F145" s="14">
        <v>8054</v>
      </c>
      <c r="G145" s="14">
        <v>40270</v>
      </c>
      <c r="H145" s="13" t="s">
        <v>29</v>
      </c>
      <c r="I145" s="13" t="s">
        <v>30</v>
      </c>
    </row>
    <row r="146" spans="1:9" x14ac:dyDescent="0.3">
      <c r="A146" s="12">
        <v>45690</v>
      </c>
      <c r="B146" s="13" t="s">
        <v>9</v>
      </c>
      <c r="C146" s="13" t="s">
        <v>22</v>
      </c>
      <c r="D146" s="13" t="s">
        <v>14</v>
      </c>
      <c r="E146" s="13">
        <v>4</v>
      </c>
      <c r="F146" s="14">
        <v>8100</v>
      </c>
      <c r="G146" s="14">
        <v>32400</v>
      </c>
      <c r="H146" s="13" t="s">
        <v>29</v>
      </c>
      <c r="I146" s="13" t="s">
        <v>30</v>
      </c>
    </row>
    <row r="147" spans="1:9" x14ac:dyDescent="0.3">
      <c r="A147" s="12">
        <v>45690</v>
      </c>
      <c r="B147" s="13" t="s">
        <v>20</v>
      </c>
      <c r="C147" s="13" t="s">
        <v>10</v>
      </c>
      <c r="D147" s="13" t="s">
        <v>14</v>
      </c>
      <c r="E147" s="13">
        <v>3</v>
      </c>
      <c r="F147" s="14">
        <v>11687</v>
      </c>
      <c r="G147" s="14">
        <v>35061</v>
      </c>
      <c r="H147" s="13" t="s">
        <v>29</v>
      </c>
      <c r="I147" s="13" t="s">
        <v>30</v>
      </c>
    </row>
    <row r="148" spans="1:9" x14ac:dyDescent="0.3">
      <c r="A148" s="12">
        <v>45690</v>
      </c>
      <c r="B148" s="13" t="s">
        <v>9</v>
      </c>
      <c r="C148" s="13" t="s">
        <v>15</v>
      </c>
      <c r="D148" s="13" t="s">
        <v>28</v>
      </c>
      <c r="E148" s="13">
        <v>7</v>
      </c>
      <c r="F148" s="14">
        <v>21891</v>
      </c>
      <c r="G148" s="14">
        <v>153237</v>
      </c>
      <c r="H148" s="13" t="s">
        <v>29</v>
      </c>
      <c r="I148" s="13" t="s">
        <v>30</v>
      </c>
    </row>
    <row r="149" spans="1:9" x14ac:dyDescent="0.3">
      <c r="A149" s="12">
        <v>45690</v>
      </c>
      <c r="B149" s="13" t="s">
        <v>23</v>
      </c>
      <c r="C149" s="13" t="s">
        <v>19</v>
      </c>
      <c r="D149" s="13" t="s">
        <v>28</v>
      </c>
      <c r="E149" s="13">
        <v>4</v>
      </c>
      <c r="F149" s="14">
        <v>17618</v>
      </c>
      <c r="G149" s="14">
        <v>70472</v>
      </c>
      <c r="H149" s="13" t="s">
        <v>29</v>
      </c>
      <c r="I149" s="13" t="s">
        <v>30</v>
      </c>
    </row>
    <row r="150" spans="1:9" x14ac:dyDescent="0.3">
      <c r="A150" s="12">
        <v>45691</v>
      </c>
      <c r="B150" s="13" t="s">
        <v>23</v>
      </c>
      <c r="C150" s="13" t="s">
        <v>25</v>
      </c>
      <c r="D150" s="13" t="s">
        <v>16</v>
      </c>
      <c r="E150" s="13">
        <v>5</v>
      </c>
      <c r="F150" s="14">
        <v>56583</v>
      </c>
      <c r="G150" s="14">
        <v>282915</v>
      </c>
      <c r="H150" s="13" t="s">
        <v>29</v>
      </c>
      <c r="I150" s="13" t="s">
        <v>30</v>
      </c>
    </row>
    <row r="151" spans="1:9" x14ac:dyDescent="0.3">
      <c r="A151" s="12">
        <v>45691</v>
      </c>
      <c r="B151" s="13" t="s">
        <v>17</v>
      </c>
      <c r="C151" s="13" t="s">
        <v>21</v>
      </c>
      <c r="D151" s="13" t="s">
        <v>14</v>
      </c>
      <c r="E151" s="13">
        <v>9</v>
      </c>
      <c r="F151" s="14">
        <v>3403</v>
      </c>
      <c r="G151" s="14">
        <v>30627</v>
      </c>
      <c r="H151" s="13" t="s">
        <v>29</v>
      </c>
      <c r="I151" s="13" t="s">
        <v>30</v>
      </c>
    </row>
    <row r="152" spans="1:9" x14ac:dyDescent="0.3">
      <c r="A152" s="12">
        <v>45691</v>
      </c>
      <c r="B152" s="13" t="s">
        <v>17</v>
      </c>
      <c r="C152" s="13" t="s">
        <v>19</v>
      </c>
      <c r="D152" s="13" t="s">
        <v>27</v>
      </c>
      <c r="E152" s="13">
        <v>2</v>
      </c>
      <c r="F152" s="14">
        <v>17207</v>
      </c>
      <c r="G152" s="14">
        <v>34414</v>
      </c>
      <c r="H152" s="13" t="s">
        <v>29</v>
      </c>
      <c r="I152" s="13" t="s">
        <v>30</v>
      </c>
    </row>
    <row r="153" spans="1:9" x14ac:dyDescent="0.3">
      <c r="A153" s="12">
        <v>45691</v>
      </c>
      <c r="B153" s="13" t="s">
        <v>20</v>
      </c>
      <c r="C153" s="13" t="s">
        <v>22</v>
      </c>
      <c r="D153" s="13" t="s">
        <v>11</v>
      </c>
      <c r="E153" s="13">
        <v>8</v>
      </c>
      <c r="F153" s="14">
        <v>7699</v>
      </c>
      <c r="G153" s="14">
        <v>61592</v>
      </c>
      <c r="H153" s="13" t="s">
        <v>29</v>
      </c>
      <c r="I153" s="13" t="s">
        <v>30</v>
      </c>
    </row>
    <row r="154" spans="1:9" x14ac:dyDescent="0.3">
      <c r="A154" s="12">
        <v>45692</v>
      </c>
      <c r="B154" s="13" t="s">
        <v>23</v>
      </c>
      <c r="C154" s="13" t="s">
        <v>19</v>
      </c>
      <c r="D154" s="13" t="s">
        <v>24</v>
      </c>
      <c r="E154" s="13">
        <v>8</v>
      </c>
      <c r="F154" s="14">
        <v>17244</v>
      </c>
      <c r="G154" s="14">
        <v>137952</v>
      </c>
      <c r="H154" s="13" t="s">
        <v>29</v>
      </c>
      <c r="I154" s="13" t="s">
        <v>30</v>
      </c>
    </row>
    <row r="155" spans="1:9" x14ac:dyDescent="0.3">
      <c r="A155" s="12">
        <v>45692</v>
      </c>
      <c r="B155" s="13" t="s">
        <v>9</v>
      </c>
      <c r="C155" s="13" t="s">
        <v>21</v>
      </c>
      <c r="D155" s="13" t="s">
        <v>26</v>
      </c>
      <c r="E155" s="13">
        <v>10</v>
      </c>
      <c r="F155" s="14">
        <v>3412</v>
      </c>
      <c r="G155" s="14">
        <v>34120</v>
      </c>
      <c r="H155" s="13" t="s">
        <v>29</v>
      </c>
      <c r="I155" s="13" t="s">
        <v>30</v>
      </c>
    </row>
    <row r="156" spans="1:9" x14ac:dyDescent="0.3">
      <c r="A156" s="12">
        <v>45692</v>
      </c>
      <c r="B156" s="13" t="s">
        <v>9</v>
      </c>
      <c r="C156" s="13" t="s">
        <v>15</v>
      </c>
      <c r="D156" s="13" t="s">
        <v>28</v>
      </c>
      <c r="E156" s="13">
        <v>5</v>
      </c>
      <c r="F156" s="14">
        <v>22167</v>
      </c>
      <c r="G156" s="14">
        <v>110835</v>
      </c>
      <c r="H156" s="13" t="s">
        <v>29</v>
      </c>
      <c r="I156" s="13" t="s">
        <v>30</v>
      </c>
    </row>
    <row r="157" spans="1:9" x14ac:dyDescent="0.3">
      <c r="A157" s="12">
        <v>45692</v>
      </c>
      <c r="B157" s="13" t="s">
        <v>17</v>
      </c>
      <c r="C157" s="13" t="s">
        <v>21</v>
      </c>
      <c r="D157" s="13" t="s">
        <v>24</v>
      </c>
      <c r="E157" s="13">
        <v>5</v>
      </c>
      <c r="F157" s="14">
        <v>3388</v>
      </c>
      <c r="G157" s="14">
        <v>16940</v>
      </c>
      <c r="H157" s="13" t="s">
        <v>29</v>
      </c>
      <c r="I157" s="13" t="s">
        <v>30</v>
      </c>
    </row>
    <row r="158" spans="1:9" x14ac:dyDescent="0.3">
      <c r="A158" s="12">
        <v>45693</v>
      </c>
      <c r="B158" s="13" t="s">
        <v>23</v>
      </c>
      <c r="C158" s="13" t="s">
        <v>10</v>
      </c>
      <c r="D158" s="13" t="s">
        <v>24</v>
      </c>
      <c r="E158" s="13">
        <v>2</v>
      </c>
      <c r="F158" s="14">
        <v>11964</v>
      </c>
      <c r="G158" s="14">
        <v>23928</v>
      </c>
      <c r="H158" s="13" t="s">
        <v>29</v>
      </c>
      <c r="I158" s="13" t="s">
        <v>30</v>
      </c>
    </row>
    <row r="159" spans="1:9" x14ac:dyDescent="0.3">
      <c r="A159" s="12">
        <v>45693</v>
      </c>
      <c r="B159" s="13" t="s">
        <v>23</v>
      </c>
      <c r="C159" s="13" t="s">
        <v>19</v>
      </c>
      <c r="D159" s="13" t="s">
        <v>26</v>
      </c>
      <c r="E159" s="13">
        <v>2</v>
      </c>
      <c r="F159" s="14">
        <v>18643</v>
      </c>
      <c r="G159" s="14">
        <v>37286</v>
      </c>
      <c r="H159" s="13" t="s">
        <v>29</v>
      </c>
      <c r="I159" s="13" t="s">
        <v>30</v>
      </c>
    </row>
    <row r="160" spans="1:9" x14ac:dyDescent="0.3">
      <c r="A160" s="12">
        <v>45693</v>
      </c>
      <c r="B160" s="13" t="s">
        <v>20</v>
      </c>
      <c r="C160" s="13" t="s">
        <v>21</v>
      </c>
      <c r="D160" s="13" t="s">
        <v>24</v>
      </c>
      <c r="E160" s="13">
        <v>5</v>
      </c>
      <c r="F160" s="14">
        <v>3556</v>
      </c>
      <c r="G160" s="14">
        <v>17780</v>
      </c>
      <c r="H160" s="13" t="s">
        <v>29</v>
      </c>
      <c r="I160" s="13" t="s">
        <v>30</v>
      </c>
    </row>
    <row r="161" spans="1:9" x14ac:dyDescent="0.3">
      <c r="A161" s="12">
        <v>45693</v>
      </c>
      <c r="B161" s="13" t="s">
        <v>23</v>
      </c>
      <c r="C161" s="13" t="s">
        <v>22</v>
      </c>
      <c r="D161" s="13" t="s">
        <v>28</v>
      </c>
      <c r="E161" s="13">
        <v>8</v>
      </c>
      <c r="F161" s="14">
        <v>7670</v>
      </c>
      <c r="G161" s="14">
        <v>61360</v>
      </c>
      <c r="H161" s="13" t="s">
        <v>29</v>
      </c>
      <c r="I161" s="13" t="s">
        <v>30</v>
      </c>
    </row>
    <row r="162" spans="1:9" x14ac:dyDescent="0.3">
      <c r="A162" s="12">
        <v>45693</v>
      </c>
      <c r="B162" s="13" t="s">
        <v>20</v>
      </c>
      <c r="C162" s="13" t="s">
        <v>19</v>
      </c>
      <c r="D162" s="13" t="s">
        <v>14</v>
      </c>
      <c r="E162" s="13">
        <v>7</v>
      </c>
      <c r="F162" s="14">
        <v>18656</v>
      </c>
      <c r="G162" s="14">
        <v>130592</v>
      </c>
      <c r="H162" s="13" t="s">
        <v>29</v>
      </c>
      <c r="I162" s="13" t="s">
        <v>30</v>
      </c>
    </row>
    <row r="163" spans="1:9" x14ac:dyDescent="0.3">
      <c r="A163" s="12">
        <v>45693</v>
      </c>
      <c r="B163" s="13" t="s">
        <v>9</v>
      </c>
      <c r="C163" s="13" t="s">
        <v>10</v>
      </c>
      <c r="D163" s="13" t="s">
        <v>24</v>
      </c>
      <c r="E163" s="13">
        <v>7</v>
      </c>
      <c r="F163" s="14">
        <v>11465</v>
      </c>
      <c r="G163" s="14">
        <v>80255</v>
      </c>
      <c r="H163" s="13" t="s">
        <v>29</v>
      </c>
      <c r="I163" s="13" t="s">
        <v>30</v>
      </c>
    </row>
    <row r="164" spans="1:9" x14ac:dyDescent="0.3">
      <c r="A164" s="12">
        <v>45694</v>
      </c>
      <c r="B164" s="13" t="s">
        <v>20</v>
      </c>
      <c r="C164" s="13" t="s">
        <v>22</v>
      </c>
      <c r="D164" s="13" t="s">
        <v>24</v>
      </c>
      <c r="E164" s="13">
        <v>8</v>
      </c>
      <c r="F164" s="14">
        <v>8207</v>
      </c>
      <c r="G164" s="14">
        <v>65656</v>
      </c>
      <c r="H164" s="13" t="s">
        <v>29</v>
      </c>
      <c r="I164" s="13" t="s">
        <v>30</v>
      </c>
    </row>
    <row r="165" spans="1:9" x14ac:dyDescent="0.3">
      <c r="A165" s="12">
        <v>45694</v>
      </c>
      <c r="B165" s="13" t="s">
        <v>17</v>
      </c>
      <c r="C165" s="13" t="s">
        <v>19</v>
      </c>
      <c r="D165" s="13" t="s">
        <v>27</v>
      </c>
      <c r="E165" s="13">
        <v>5</v>
      </c>
      <c r="F165" s="14">
        <v>17888</v>
      </c>
      <c r="G165" s="14">
        <v>89440</v>
      </c>
      <c r="H165" s="13" t="s">
        <v>29</v>
      </c>
      <c r="I165" s="13" t="s">
        <v>30</v>
      </c>
    </row>
    <row r="166" spans="1:9" x14ac:dyDescent="0.3">
      <c r="A166" s="12">
        <v>45694</v>
      </c>
      <c r="B166" s="13" t="s">
        <v>23</v>
      </c>
      <c r="C166" s="13" t="s">
        <v>25</v>
      </c>
      <c r="D166" s="13" t="s">
        <v>28</v>
      </c>
      <c r="E166" s="13">
        <v>10</v>
      </c>
      <c r="F166" s="14">
        <v>56646</v>
      </c>
      <c r="G166" s="14">
        <v>566460</v>
      </c>
      <c r="H166" s="13" t="s">
        <v>29</v>
      </c>
      <c r="I166" s="13" t="s">
        <v>30</v>
      </c>
    </row>
    <row r="167" spans="1:9" x14ac:dyDescent="0.3">
      <c r="A167" s="12">
        <v>45694</v>
      </c>
      <c r="B167" s="13" t="s">
        <v>17</v>
      </c>
      <c r="C167" s="13" t="s">
        <v>19</v>
      </c>
      <c r="D167" s="13" t="s">
        <v>28</v>
      </c>
      <c r="E167" s="13">
        <v>9</v>
      </c>
      <c r="F167" s="14">
        <v>17834</v>
      </c>
      <c r="G167" s="14">
        <v>160506</v>
      </c>
      <c r="H167" s="13" t="s">
        <v>29</v>
      </c>
      <c r="I167" s="13" t="s">
        <v>30</v>
      </c>
    </row>
    <row r="168" spans="1:9" x14ac:dyDescent="0.3">
      <c r="A168" s="12">
        <v>45694</v>
      </c>
      <c r="B168" s="13" t="s">
        <v>17</v>
      </c>
      <c r="C168" s="13" t="s">
        <v>25</v>
      </c>
      <c r="D168" s="13" t="s">
        <v>24</v>
      </c>
      <c r="E168" s="13">
        <v>2</v>
      </c>
      <c r="F168" s="14">
        <v>55812</v>
      </c>
      <c r="G168" s="14">
        <v>111624</v>
      </c>
      <c r="H168" s="13" t="s">
        <v>29</v>
      </c>
      <c r="I168" s="13" t="s">
        <v>30</v>
      </c>
    </row>
    <row r="169" spans="1:9" x14ac:dyDescent="0.3">
      <c r="A169" s="12">
        <v>45694</v>
      </c>
      <c r="B169" s="13" t="s">
        <v>17</v>
      </c>
      <c r="C169" s="13" t="s">
        <v>21</v>
      </c>
      <c r="D169" s="13" t="s">
        <v>11</v>
      </c>
      <c r="E169" s="13">
        <v>9</v>
      </c>
      <c r="F169" s="14">
        <v>3571</v>
      </c>
      <c r="G169" s="14">
        <v>32139</v>
      </c>
      <c r="H169" s="13" t="s">
        <v>29</v>
      </c>
      <c r="I169" s="13" t="s">
        <v>30</v>
      </c>
    </row>
    <row r="170" spans="1:9" x14ac:dyDescent="0.3">
      <c r="A170" s="12">
        <v>45695</v>
      </c>
      <c r="B170" s="13" t="s">
        <v>23</v>
      </c>
      <c r="C170" s="13" t="s">
        <v>21</v>
      </c>
      <c r="D170" s="13" t="s">
        <v>16</v>
      </c>
      <c r="E170" s="13">
        <v>8</v>
      </c>
      <c r="F170" s="14">
        <v>3517</v>
      </c>
      <c r="G170" s="14">
        <v>28136</v>
      </c>
      <c r="H170" s="13" t="s">
        <v>29</v>
      </c>
      <c r="I170" s="13" t="s">
        <v>30</v>
      </c>
    </row>
    <row r="171" spans="1:9" x14ac:dyDescent="0.3">
      <c r="A171" s="12">
        <v>45695</v>
      </c>
      <c r="B171" s="13" t="s">
        <v>23</v>
      </c>
      <c r="C171" s="13" t="s">
        <v>15</v>
      </c>
      <c r="D171" s="13" t="s">
        <v>27</v>
      </c>
      <c r="E171" s="13">
        <v>2</v>
      </c>
      <c r="F171" s="14">
        <v>21507</v>
      </c>
      <c r="G171" s="14">
        <v>43014</v>
      </c>
      <c r="H171" s="13" t="s">
        <v>29</v>
      </c>
      <c r="I171" s="13" t="s">
        <v>30</v>
      </c>
    </row>
    <row r="172" spans="1:9" x14ac:dyDescent="0.3">
      <c r="A172" s="12">
        <v>45695</v>
      </c>
      <c r="B172" s="13" t="s">
        <v>23</v>
      </c>
      <c r="C172" s="13" t="s">
        <v>19</v>
      </c>
      <c r="D172" s="13" t="s">
        <v>11</v>
      </c>
      <c r="E172" s="13">
        <v>1</v>
      </c>
      <c r="F172" s="14">
        <v>17609</v>
      </c>
      <c r="G172" s="14">
        <v>17609</v>
      </c>
      <c r="H172" s="13" t="s">
        <v>29</v>
      </c>
      <c r="I172" s="13" t="s">
        <v>30</v>
      </c>
    </row>
    <row r="173" spans="1:9" x14ac:dyDescent="0.3">
      <c r="A173" s="12">
        <v>45695</v>
      </c>
      <c r="B173" s="13" t="s">
        <v>20</v>
      </c>
      <c r="C173" s="13" t="s">
        <v>22</v>
      </c>
      <c r="D173" s="13" t="s">
        <v>24</v>
      </c>
      <c r="E173" s="13">
        <v>3</v>
      </c>
      <c r="F173" s="14">
        <v>7957</v>
      </c>
      <c r="G173" s="14">
        <v>23871</v>
      </c>
      <c r="H173" s="13" t="s">
        <v>29</v>
      </c>
      <c r="I173" s="13" t="s">
        <v>30</v>
      </c>
    </row>
    <row r="174" spans="1:9" x14ac:dyDescent="0.3">
      <c r="A174" s="12">
        <v>45695</v>
      </c>
      <c r="B174" s="13" t="s">
        <v>23</v>
      </c>
      <c r="C174" s="13" t="s">
        <v>19</v>
      </c>
      <c r="D174" s="13" t="s">
        <v>26</v>
      </c>
      <c r="E174" s="13">
        <v>9</v>
      </c>
      <c r="F174" s="14">
        <v>18473</v>
      </c>
      <c r="G174" s="14">
        <v>166257</v>
      </c>
      <c r="H174" s="13" t="s">
        <v>29</v>
      </c>
      <c r="I174" s="13" t="s">
        <v>30</v>
      </c>
    </row>
    <row r="175" spans="1:9" x14ac:dyDescent="0.3">
      <c r="A175" s="12">
        <v>45696</v>
      </c>
      <c r="B175" s="13" t="s">
        <v>23</v>
      </c>
      <c r="C175" s="13" t="s">
        <v>19</v>
      </c>
      <c r="D175" s="13" t="s">
        <v>16</v>
      </c>
      <c r="E175" s="13">
        <v>4</v>
      </c>
      <c r="F175" s="14">
        <v>18129</v>
      </c>
      <c r="G175" s="14">
        <v>72516</v>
      </c>
      <c r="H175" s="13" t="s">
        <v>29</v>
      </c>
      <c r="I175" s="13" t="s">
        <v>30</v>
      </c>
    </row>
    <row r="176" spans="1:9" x14ac:dyDescent="0.3">
      <c r="A176" s="12">
        <v>45696</v>
      </c>
      <c r="B176" s="13" t="s">
        <v>17</v>
      </c>
      <c r="C176" s="13" t="s">
        <v>21</v>
      </c>
      <c r="D176" s="13" t="s">
        <v>28</v>
      </c>
      <c r="E176" s="13">
        <v>6</v>
      </c>
      <c r="F176" s="14">
        <v>3585</v>
      </c>
      <c r="G176" s="14">
        <v>21510</v>
      </c>
      <c r="H176" s="13" t="s">
        <v>29</v>
      </c>
      <c r="I176" s="13" t="s">
        <v>30</v>
      </c>
    </row>
    <row r="177" spans="1:9" x14ac:dyDescent="0.3">
      <c r="A177" s="12">
        <v>45696</v>
      </c>
      <c r="B177" s="13" t="s">
        <v>23</v>
      </c>
      <c r="C177" s="13" t="s">
        <v>21</v>
      </c>
      <c r="D177" s="13" t="s">
        <v>27</v>
      </c>
      <c r="E177" s="13">
        <v>8</v>
      </c>
      <c r="F177" s="14">
        <v>3662</v>
      </c>
      <c r="G177" s="14">
        <v>29296</v>
      </c>
      <c r="H177" s="13" t="s">
        <v>29</v>
      </c>
      <c r="I177" s="13" t="s">
        <v>30</v>
      </c>
    </row>
    <row r="178" spans="1:9" x14ac:dyDescent="0.3">
      <c r="A178" s="12">
        <v>45696</v>
      </c>
      <c r="B178" s="13" t="s">
        <v>17</v>
      </c>
      <c r="C178" s="13" t="s">
        <v>22</v>
      </c>
      <c r="D178" s="13" t="s">
        <v>26</v>
      </c>
      <c r="E178" s="13">
        <v>2</v>
      </c>
      <c r="F178" s="14">
        <v>8299</v>
      </c>
      <c r="G178" s="14">
        <v>16598</v>
      </c>
      <c r="H178" s="13" t="s">
        <v>29</v>
      </c>
      <c r="I178" s="13" t="s">
        <v>30</v>
      </c>
    </row>
    <row r="179" spans="1:9" x14ac:dyDescent="0.3">
      <c r="A179" s="12">
        <v>45696</v>
      </c>
      <c r="B179" s="13" t="s">
        <v>23</v>
      </c>
      <c r="C179" s="13" t="s">
        <v>25</v>
      </c>
      <c r="D179" s="13" t="s">
        <v>24</v>
      </c>
      <c r="E179" s="13">
        <v>1</v>
      </c>
      <c r="F179" s="14">
        <v>56223</v>
      </c>
      <c r="G179" s="14">
        <v>56223</v>
      </c>
      <c r="H179" s="13" t="s">
        <v>29</v>
      </c>
      <c r="I179" s="13" t="s">
        <v>30</v>
      </c>
    </row>
    <row r="180" spans="1:9" x14ac:dyDescent="0.3">
      <c r="A180" s="12">
        <v>45697</v>
      </c>
      <c r="B180" s="13" t="s">
        <v>17</v>
      </c>
      <c r="C180" s="13" t="s">
        <v>25</v>
      </c>
      <c r="D180" s="13" t="s">
        <v>24</v>
      </c>
      <c r="E180" s="13">
        <v>5</v>
      </c>
      <c r="F180" s="14">
        <v>54112</v>
      </c>
      <c r="G180" s="14">
        <v>270560</v>
      </c>
      <c r="H180" s="13" t="s">
        <v>29</v>
      </c>
      <c r="I180" s="13" t="s">
        <v>30</v>
      </c>
    </row>
    <row r="181" spans="1:9" x14ac:dyDescent="0.3">
      <c r="A181" s="12">
        <v>45697</v>
      </c>
      <c r="B181" s="13" t="s">
        <v>23</v>
      </c>
      <c r="C181" s="13" t="s">
        <v>10</v>
      </c>
      <c r="D181" s="13" t="s">
        <v>14</v>
      </c>
      <c r="E181" s="13">
        <v>6</v>
      </c>
      <c r="F181" s="14">
        <v>12422</v>
      </c>
      <c r="G181" s="14">
        <v>74532</v>
      </c>
      <c r="H181" s="13" t="s">
        <v>29</v>
      </c>
      <c r="I181" s="13" t="s">
        <v>30</v>
      </c>
    </row>
    <row r="182" spans="1:9" x14ac:dyDescent="0.3">
      <c r="A182" s="12">
        <v>45697</v>
      </c>
      <c r="B182" s="13" t="s">
        <v>23</v>
      </c>
      <c r="C182" s="13" t="s">
        <v>19</v>
      </c>
      <c r="D182" s="13" t="s">
        <v>24</v>
      </c>
      <c r="E182" s="13">
        <v>9</v>
      </c>
      <c r="F182" s="14">
        <v>17164</v>
      </c>
      <c r="G182" s="14">
        <v>154476</v>
      </c>
      <c r="H182" s="13" t="s">
        <v>29</v>
      </c>
      <c r="I182" s="13" t="s">
        <v>30</v>
      </c>
    </row>
    <row r="183" spans="1:9" x14ac:dyDescent="0.3">
      <c r="A183" s="12">
        <v>45697</v>
      </c>
      <c r="B183" s="13" t="s">
        <v>9</v>
      </c>
      <c r="C183" s="13" t="s">
        <v>15</v>
      </c>
      <c r="D183" s="13" t="s">
        <v>11</v>
      </c>
      <c r="E183" s="13">
        <v>4</v>
      </c>
      <c r="F183" s="14">
        <v>22542</v>
      </c>
      <c r="G183" s="14">
        <v>90168</v>
      </c>
      <c r="H183" s="13" t="s">
        <v>29</v>
      </c>
      <c r="I183" s="13" t="s">
        <v>30</v>
      </c>
    </row>
    <row r="184" spans="1:9" x14ac:dyDescent="0.3">
      <c r="A184" s="12">
        <v>45697</v>
      </c>
      <c r="B184" s="13" t="s">
        <v>23</v>
      </c>
      <c r="C184" s="13" t="s">
        <v>25</v>
      </c>
      <c r="D184" s="13" t="s">
        <v>14</v>
      </c>
      <c r="E184" s="13">
        <v>8</v>
      </c>
      <c r="F184" s="14">
        <v>53165</v>
      </c>
      <c r="G184" s="14">
        <v>425320</v>
      </c>
      <c r="H184" s="13" t="s">
        <v>29</v>
      </c>
      <c r="I184" s="13" t="s">
        <v>30</v>
      </c>
    </row>
    <row r="185" spans="1:9" x14ac:dyDescent="0.3">
      <c r="A185" s="12">
        <v>45698</v>
      </c>
      <c r="B185" s="13" t="s">
        <v>9</v>
      </c>
      <c r="C185" s="13" t="s">
        <v>25</v>
      </c>
      <c r="D185" s="13" t="s">
        <v>26</v>
      </c>
      <c r="E185" s="13">
        <v>1</v>
      </c>
      <c r="F185" s="14">
        <v>53863</v>
      </c>
      <c r="G185" s="14">
        <v>53863</v>
      </c>
      <c r="H185" s="13" t="s">
        <v>29</v>
      </c>
      <c r="I185" s="13" t="s">
        <v>30</v>
      </c>
    </row>
    <row r="186" spans="1:9" x14ac:dyDescent="0.3">
      <c r="A186" s="12">
        <v>45698</v>
      </c>
      <c r="B186" s="13" t="s">
        <v>20</v>
      </c>
      <c r="C186" s="13" t="s">
        <v>21</v>
      </c>
      <c r="D186" s="13" t="s">
        <v>27</v>
      </c>
      <c r="E186" s="13">
        <v>4</v>
      </c>
      <c r="F186" s="14">
        <v>3510</v>
      </c>
      <c r="G186" s="14">
        <v>14040</v>
      </c>
      <c r="H186" s="13" t="s">
        <v>29</v>
      </c>
      <c r="I186" s="13" t="s">
        <v>30</v>
      </c>
    </row>
    <row r="187" spans="1:9" x14ac:dyDescent="0.3">
      <c r="A187" s="12">
        <v>45698</v>
      </c>
      <c r="B187" s="13" t="s">
        <v>17</v>
      </c>
      <c r="C187" s="13" t="s">
        <v>15</v>
      </c>
      <c r="D187" s="13" t="s">
        <v>27</v>
      </c>
      <c r="E187" s="13">
        <v>2</v>
      </c>
      <c r="F187" s="14">
        <v>22240</v>
      </c>
      <c r="G187" s="14">
        <v>44480</v>
      </c>
      <c r="H187" s="13" t="s">
        <v>29</v>
      </c>
      <c r="I187" s="13" t="s">
        <v>30</v>
      </c>
    </row>
    <row r="188" spans="1:9" x14ac:dyDescent="0.3">
      <c r="A188" s="12">
        <v>45698</v>
      </c>
      <c r="B188" s="13" t="s">
        <v>23</v>
      </c>
      <c r="C188" s="13" t="s">
        <v>22</v>
      </c>
      <c r="D188" s="13" t="s">
        <v>16</v>
      </c>
      <c r="E188" s="13">
        <v>8</v>
      </c>
      <c r="F188" s="14">
        <v>8330</v>
      </c>
      <c r="G188" s="14">
        <v>66640</v>
      </c>
      <c r="H188" s="13" t="s">
        <v>29</v>
      </c>
      <c r="I188" s="13" t="s">
        <v>30</v>
      </c>
    </row>
    <row r="189" spans="1:9" x14ac:dyDescent="0.3">
      <c r="A189" s="12">
        <v>45699</v>
      </c>
      <c r="B189" s="13" t="s">
        <v>17</v>
      </c>
      <c r="C189" s="13" t="s">
        <v>21</v>
      </c>
      <c r="D189" s="13" t="s">
        <v>11</v>
      </c>
      <c r="E189" s="13">
        <v>8</v>
      </c>
      <c r="F189" s="14">
        <v>3414</v>
      </c>
      <c r="G189" s="14">
        <v>27312</v>
      </c>
      <c r="H189" s="13" t="s">
        <v>29</v>
      </c>
      <c r="I189" s="13" t="s">
        <v>30</v>
      </c>
    </row>
    <row r="190" spans="1:9" x14ac:dyDescent="0.3">
      <c r="A190" s="12">
        <v>45699</v>
      </c>
      <c r="B190" s="13" t="s">
        <v>9</v>
      </c>
      <c r="C190" s="13" t="s">
        <v>21</v>
      </c>
      <c r="D190" s="13" t="s">
        <v>11</v>
      </c>
      <c r="E190" s="13">
        <v>9</v>
      </c>
      <c r="F190" s="14">
        <v>3380</v>
      </c>
      <c r="G190" s="14">
        <v>30420</v>
      </c>
      <c r="H190" s="13" t="s">
        <v>29</v>
      </c>
      <c r="I190" s="13" t="s">
        <v>30</v>
      </c>
    </row>
    <row r="191" spans="1:9" x14ac:dyDescent="0.3">
      <c r="A191" s="12">
        <v>45699</v>
      </c>
      <c r="B191" s="13" t="s">
        <v>23</v>
      </c>
      <c r="C191" s="13" t="s">
        <v>19</v>
      </c>
      <c r="D191" s="13" t="s">
        <v>11</v>
      </c>
      <c r="E191" s="13">
        <v>7</v>
      </c>
      <c r="F191" s="14">
        <v>18342</v>
      </c>
      <c r="G191" s="14">
        <v>128394</v>
      </c>
      <c r="H191" s="13" t="s">
        <v>29</v>
      </c>
      <c r="I191" s="13" t="s">
        <v>30</v>
      </c>
    </row>
    <row r="192" spans="1:9" x14ac:dyDescent="0.3">
      <c r="A192" s="12">
        <v>45700</v>
      </c>
      <c r="B192" s="13" t="s">
        <v>20</v>
      </c>
      <c r="C192" s="13" t="s">
        <v>15</v>
      </c>
      <c r="D192" s="13" t="s">
        <v>18</v>
      </c>
      <c r="E192" s="13">
        <v>8</v>
      </c>
      <c r="F192" s="14">
        <v>21134</v>
      </c>
      <c r="G192" s="14">
        <v>169072</v>
      </c>
      <c r="H192" s="13" t="s">
        <v>29</v>
      </c>
      <c r="I192" s="13" t="s">
        <v>30</v>
      </c>
    </row>
    <row r="193" spans="1:9" x14ac:dyDescent="0.3">
      <c r="A193" s="12">
        <v>45700</v>
      </c>
      <c r="B193" s="13" t="s">
        <v>23</v>
      </c>
      <c r="C193" s="13" t="s">
        <v>22</v>
      </c>
      <c r="D193" s="13" t="s">
        <v>26</v>
      </c>
      <c r="E193" s="13">
        <v>10</v>
      </c>
      <c r="F193" s="14">
        <v>7836</v>
      </c>
      <c r="G193" s="14">
        <v>78360</v>
      </c>
      <c r="H193" s="13" t="s">
        <v>29</v>
      </c>
      <c r="I193" s="13" t="s">
        <v>30</v>
      </c>
    </row>
    <row r="194" spans="1:9" x14ac:dyDescent="0.3">
      <c r="A194" s="12">
        <v>45700</v>
      </c>
      <c r="B194" s="13" t="s">
        <v>20</v>
      </c>
      <c r="C194" s="13" t="s">
        <v>25</v>
      </c>
      <c r="D194" s="13" t="s">
        <v>18</v>
      </c>
      <c r="E194" s="13">
        <v>5</v>
      </c>
      <c r="F194" s="14">
        <v>52294</v>
      </c>
      <c r="G194" s="14">
        <v>261470</v>
      </c>
      <c r="H194" s="13" t="s">
        <v>29</v>
      </c>
      <c r="I194" s="13" t="s">
        <v>30</v>
      </c>
    </row>
    <row r="195" spans="1:9" x14ac:dyDescent="0.3">
      <c r="A195" s="12">
        <v>45700</v>
      </c>
      <c r="B195" s="13" t="s">
        <v>9</v>
      </c>
      <c r="C195" s="13" t="s">
        <v>22</v>
      </c>
      <c r="D195" s="13" t="s">
        <v>24</v>
      </c>
      <c r="E195" s="13">
        <v>5</v>
      </c>
      <c r="F195" s="14">
        <v>8220</v>
      </c>
      <c r="G195" s="14">
        <v>41100</v>
      </c>
      <c r="H195" s="13" t="s">
        <v>29</v>
      </c>
      <c r="I195" s="13" t="s">
        <v>30</v>
      </c>
    </row>
    <row r="196" spans="1:9" x14ac:dyDescent="0.3">
      <c r="A196" s="12">
        <v>45700</v>
      </c>
      <c r="B196" s="13" t="s">
        <v>17</v>
      </c>
      <c r="C196" s="13" t="s">
        <v>22</v>
      </c>
      <c r="D196" s="13" t="s">
        <v>26</v>
      </c>
      <c r="E196" s="13">
        <v>4</v>
      </c>
      <c r="F196" s="14">
        <v>8109</v>
      </c>
      <c r="G196" s="14">
        <v>32436</v>
      </c>
      <c r="H196" s="13" t="s">
        <v>29</v>
      </c>
      <c r="I196" s="13" t="s">
        <v>30</v>
      </c>
    </row>
    <row r="197" spans="1:9" x14ac:dyDescent="0.3">
      <c r="A197" s="12">
        <v>45701</v>
      </c>
      <c r="B197" s="13" t="s">
        <v>20</v>
      </c>
      <c r="C197" s="13" t="s">
        <v>10</v>
      </c>
      <c r="D197" s="13" t="s">
        <v>27</v>
      </c>
      <c r="E197" s="13">
        <v>2</v>
      </c>
      <c r="F197" s="14">
        <v>12484</v>
      </c>
      <c r="G197" s="14">
        <v>24968</v>
      </c>
      <c r="H197" s="13" t="s">
        <v>29</v>
      </c>
      <c r="I197" s="13" t="s">
        <v>30</v>
      </c>
    </row>
    <row r="198" spans="1:9" x14ac:dyDescent="0.3">
      <c r="A198" s="12">
        <v>45701</v>
      </c>
      <c r="B198" s="13" t="s">
        <v>9</v>
      </c>
      <c r="C198" s="13" t="s">
        <v>19</v>
      </c>
      <c r="D198" s="13" t="s">
        <v>24</v>
      </c>
      <c r="E198" s="13">
        <v>1</v>
      </c>
      <c r="F198" s="14">
        <v>18143</v>
      </c>
      <c r="G198" s="14">
        <v>18143</v>
      </c>
      <c r="H198" s="13" t="s">
        <v>29</v>
      </c>
      <c r="I198" s="13" t="s">
        <v>30</v>
      </c>
    </row>
    <row r="199" spans="1:9" x14ac:dyDescent="0.3">
      <c r="A199" s="12">
        <v>45701</v>
      </c>
      <c r="B199" s="13" t="s">
        <v>17</v>
      </c>
      <c r="C199" s="13" t="s">
        <v>25</v>
      </c>
      <c r="D199" s="13" t="s">
        <v>11</v>
      </c>
      <c r="E199" s="13">
        <v>6</v>
      </c>
      <c r="F199" s="14">
        <v>56361</v>
      </c>
      <c r="G199" s="14">
        <v>338166</v>
      </c>
      <c r="H199" s="13" t="s">
        <v>29</v>
      </c>
      <c r="I199" s="13" t="s">
        <v>30</v>
      </c>
    </row>
    <row r="200" spans="1:9" x14ac:dyDescent="0.3">
      <c r="A200" s="12">
        <v>45701</v>
      </c>
      <c r="B200" s="13" t="s">
        <v>17</v>
      </c>
      <c r="C200" s="13" t="s">
        <v>15</v>
      </c>
      <c r="D200" s="13" t="s">
        <v>27</v>
      </c>
      <c r="E200" s="13">
        <v>9</v>
      </c>
      <c r="F200" s="14">
        <v>22828</v>
      </c>
      <c r="G200" s="14">
        <v>205452</v>
      </c>
      <c r="H200" s="13" t="s">
        <v>29</v>
      </c>
      <c r="I200" s="13" t="s">
        <v>30</v>
      </c>
    </row>
    <row r="201" spans="1:9" x14ac:dyDescent="0.3">
      <c r="A201" s="12">
        <v>45701</v>
      </c>
      <c r="B201" s="13" t="s">
        <v>20</v>
      </c>
      <c r="C201" s="13" t="s">
        <v>22</v>
      </c>
      <c r="D201" s="13" t="s">
        <v>11</v>
      </c>
      <c r="E201" s="13">
        <v>3</v>
      </c>
      <c r="F201" s="14">
        <v>7805</v>
      </c>
      <c r="G201" s="14">
        <v>23415</v>
      </c>
      <c r="H201" s="13" t="s">
        <v>29</v>
      </c>
      <c r="I201" s="13" t="s">
        <v>30</v>
      </c>
    </row>
    <row r="202" spans="1:9" x14ac:dyDescent="0.3">
      <c r="A202" s="12">
        <v>45701</v>
      </c>
      <c r="B202" s="13" t="s">
        <v>23</v>
      </c>
      <c r="C202" s="13" t="s">
        <v>19</v>
      </c>
      <c r="D202" s="13" t="s">
        <v>26</v>
      </c>
      <c r="E202" s="13">
        <v>2</v>
      </c>
      <c r="F202" s="14">
        <v>17942</v>
      </c>
      <c r="G202" s="14">
        <v>35884</v>
      </c>
      <c r="H202" s="13" t="s">
        <v>29</v>
      </c>
      <c r="I202" s="13" t="s">
        <v>30</v>
      </c>
    </row>
    <row r="203" spans="1:9" x14ac:dyDescent="0.3">
      <c r="A203" s="12">
        <v>45702</v>
      </c>
      <c r="B203" s="13" t="s">
        <v>17</v>
      </c>
      <c r="C203" s="13" t="s">
        <v>15</v>
      </c>
      <c r="D203" s="13" t="s">
        <v>18</v>
      </c>
      <c r="E203" s="13">
        <v>9</v>
      </c>
      <c r="F203" s="14">
        <v>21704</v>
      </c>
      <c r="G203" s="14">
        <v>195336</v>
      </c>
      <c r="H203" s="13" t="s">
        <v>29</v>
      </c>
      <c r="I203" s="13" t="s">
        <v>30</v>
      </c>
    </row>
    <row r="204" spans="1:9" x14ac:dyDescent="0.3">
      <c r="A204" s="12">
        <v>45702</v>
      </c>
      <c r="B204" s="13" t="s">
        <v>23</v>
      </c>
      <c r="C204" s="13" t="s">
        <v>25</v>
      </c>
      <c r="D204" s="13" t="s">
        <v>11</v>
      </c>
      <c r="E204" s="13">
        <v>9</v>
      </c>
      <c r="F204" s="14">
        <v>52929</v>
      </c>
      <c r="G204" s="14">
        <v>476361</v>
      </c>
      <c r="H204" s="13" t="s">
        <v>29</v>
      </c>
      <c r="I204" s="13" t="s">
        <v>30</v>
      </c>
    </row>
    <row r="205" spans="1:9" x14ac:dyDescent="0.3">
      <c r="A205" s="12">
        <v>45703</v>
      </c>
      <c r="B205" s="13" t="s">
        <v>20</v>
      </c>
      <c r="C205" s="13" t="s">
        <v>22</v>
      </c>
      <c r="D205" s="13" t="s">
        <v>18</v>
      </c>
      <c r="E205" s="13">
        <v>6</v>
      </c>
      <c r="F205" s="14">
        <v>7686</v>
      </c>
      <c r="G205" s="14">
        <v>46116</v>
      </c>
      <c r="H205" s="13" t="s">
        <v>29</v>
      </c>
      <c r="I205" s="13" t="s">
        <v>30</v>
      </c>
    </row>
    <row r="206" spans="1:9" x14ac:dyDescent="0.3">
      <c r="A206" s="12">
        <v>45703</v>
      </c>
      <c r="B206" s="13" t="s">
        <v>17</v>
      </c>
      <c r="C206" s="13" t="s">
        <v>21</v>
      </c>
      <c r="D206" s="13" t="s">
        <v>28</v>
      </c>
      <c r="E206" s="13">
        <v>10</v>
      </c>
      <c r="F206" s="14">
        <v>3634</v>
      </c>
      <c r="G206" s="14">
        <v>36340</v>
      </c>
      <c r="H206" s="13" t="s">
        <v>29</v>
      </c>
      <c r="I206" s="13" t="s">
        <v>30</v>
      </c>
    </row>
    <row r="207" spans="1:9" x14ac:dyDescent="0.3">
      <c r="A207" s="12">
        <v>45703</v>
      </c>
      <c r="B207" s="13" t="s">
        <v>20</v>
      </c>
      <c r="C207" s="13" t="s">
        <v>22</v>
      </c>
      <c r="D207" s="13" t="s">
        <v>16</v>
      </c>
      <c r="E207" s="13">
        <v>2</v>
      </c>
      <c r="F207" s="14">
        <v>8108</v>
      </c>
      <c r="G207" s="14">
        <v>16216</v>
      </c>
      <c r="H207" s="13" t="s">
        <v>29</v>
      </c>
      <c r="I207" s="13" t="s">
        <v>30</v>
      </c>
    </row>
    <row r="208" spans="1:9" x14ac:dyDescent="0.3">
      <c r="A208" s="12">
        <v>45703</v>
      </c>
      <c r="B208" s="13" t="s">
        <v>23</v>
      </c>
      <c r="C208" s="13" t="s">
        <v>10</v>
      </c>
      <c r="D208" s="13" t="s">
        <v>11</v>
      </c>
      <c r="E208" s="13">
        <v>7</v>
      </c>
      <c r="F208" s="14">
        <v>11540</v>
      </c>
      <c r="G208" s="14">
        <v>80780</v>
      </c>
      <c r="H208" s="13" t="s">
        <v>29</v>
      </c>
      <c r="I208" s="13" t="s">
        <v>30</v>
      </c>
    </row>
    <row r="209" spans="1:9" x14ac:dyDescent="0.3">
      <c r="A209" s="12">
        <v>45704</v>
      </c>
      <c r="B209" s="13" t="s">
        <v>9</v>
      </c>
      <c r="C209" s="13" t="s">
        <v>19</v>
      </c>
      <c r="D209" s="13" t="s">
        <v>24</v>
      </c>
      <c r="E209" s="13">
        <v>2</v>
      </c>
      <c r="F209" s="14">
        <v>17274</v>
      </c>
      <c r="G209" s="14">
        <v>34548</v>
      </c>
      <c r="H209" s="13" t="s">
        <v>29</v>
      </c>
      <c r="I209" s="13" t="s">
        <v>30</v>
      </c>
    </row>
    <row r="210" spans="1:9" x14ac:dyDescent="0.3">
      <c r="A210" s="12">
        <v>45704</v>
      </c>
      <c r="B210" s="13" t="s">
        <v>17</v>
      </c>
      <c r="C210" s="13" t="s">
        <v>21</v>
      </c>
      <c r="D210" s="13" t="s">
        <v>24</v>
      </c>
      <c r="E210" s="13">
        <v>6</v>
      </c>
      <c r="F210" s="14">
        <v>3559</v>
      </c>
      <c r="G210" s="14">
        <v>21354</v>
      </c>
      <c r="H210" s="13" t="s">
        <v>29</v>
      </c>
      <c r="I210" s="13" t="s">
        <v>30</v>
      </c>
    </row>
    <row r="211" spans="1:9" x14ac:dyDescent="0.3">
      <c r="A211" s="12">
        <v>45705</v>
      </c>
      <c r="B211" s="13" t="s">
        <v>23</v>
      </c>
      <c r="C211" s="13" t="s">
        <v>22</v>
      </c>
      <c r="D211" s="13" t="s">
        <v>27</v>
      </c>
      <c r="E211" s="13">
        <v>7</v>
      </c>
      <c r="F211" s="14">
        <v>8123</v>
      </c>
      <c r="G211" s="14">
        <v>56861</v>
      </c>
      <c r="H211" s="13" t="s">
        <v>29</v>
      </c>
      <c r="I211" s="13" t="s">
        <v>30</v>
      </c>
    </row>
    <row r="212" spans="1:9" x14ac:dyDescent="0.3">
      <c r="A212" s="12">
        <v>45705</v>
      </c>
      <c r="B212" s="13" t="s">
        <v>23</v>
      </c>
      <c r="C212" s="13" t="s">
        <v>22</v>
      </c>
      <c r="D212" s="13" t="s">
        <v>18</v>
      </c>
      <c r="E212" s="13">
        <v>5</v>
      </c>
      <c r="F212" s="14">
        <v>7626</v>
      </c>
      <c r="G212" s="14">
        <v>38130</v>
      </c>
      <c r="H212" s="13" t="s">
        <v>29</v>
      </c>
      <c r="I212" s="13" t="s">
        <v>30</v>
      </c>
    </row>
    <row r="213" spans="1:9" x14ac:dyDescent="0.3">
      <c r="A213" s="12">
        <v>45705</v>
      </c>
      <c r="B213" s="13" t="s">
        <v>20</v>
      </c>
      <c r="C213" s="13" t="s">
        <v>15</v>
      </c>
      <c r="D213" s="13" t="s">
        <v>24</v>
      </c>
      <c r="E213" s="13">
        <v>8</v>
      </c>
      <c r="F213" s="14">
        <v>22991</v>
      </c>
      <c r="G213" s="14">
        <v>183928</v>
      </c>
      <c r="H213" s="13" t="s">
        <v>29</v>
      </c>
      <c r="I213" s="13" t="s">
        <v>30</v>
      </c>
    </row>
    <row r="214" spans="1:9" x14ac:dyDescent="0.3">
      <c r="A214" s="12">
        <v>45705</v>
      </c>
      <c r="B214" s="13" t="s">
        <v>20</v>
      </c>
      <c r="C214" s="13" t="s">
        <v>25</v>
      </c>
      <c r="D214" s="13" t="s">
        <v>26</v>
      </c>
      <c r="E214" s="13">
        <v>9</v>
      </c>
      <c r="F214" s="14">
        <v>57209</v>
      </c>
      <c r="G214" s="14">
        <v>514881</v>
      </c>
      <c r="H214" s="13" t="s">
        <v>29</v>
      </c>
      <c r="I214" s="13" t="s">
        <v>30</v>
      </c>
    </row>
    <row r="215" spans="1:9" x14ac:dyDescent="0.3">
      <c r="A215" s="12">
        <v>45705</v>
      </c>
      <c r="B215" s="13" t="s">
        <v>20</v>
      </c>
      <c r="C215" s="13" t="s">
        <v>25</v>
      </c>
      <c r="D215" s="13" t="s">
        <v>18</v>
      </c>
      <c r="E215" s="13">
        <v>5</v>
      </c>
      <c r="F215" s="14">
        <v>53293</v>
      </c>
      <c r="G215" s="14">
        <v>266465</v>
      </c>
      <c r="H215" s="13" t="s">
        <v>29</v>
      </c>
      <c r="I215" s="13" t="s">
        <v>30</v>
      </c>
    </row>
    <row r="216" spans="1:9" x14ac:dyDescent="0.3">
      <c r="A216" s="12">
        <v>45705</v>
      </c>
      <c r="B216" s="13" t="s">
        <v>9</v>
      </c>
      <c r="C216" s="13" t="s">
        <v>21</v>
      </c>
      <c r="D216" s="13" t="s">
        <v>14</v>
      </c>
      <c r="E216" s="13">
        <v>4</v>
      </c>
      <c r="F216" s="14">
        <v>3549</v>
      </c>
      <c r="G216" s="14">
        <v>14196</v>
      </c>
      <c r="H216" s="13" t="s">
        <v>29</v>
      </c>
      <c r="I216" s="13" t="s">
        <v>30</v>
      </c>
    </row>
    <row r="217" spans="1:9" x14ac:dyDescent="0.3">
      <c r="A217" s="12">
        <v>45706</v>
      </c>
      <c r="B217" s="13" t="s">
        <v>9</v>
      </c>
      <c r="C217" s="13" t="s">
        <v>25</v>
      </c>
      <c r="D217" s="13" t="s">
        <v>26</v>
      </c>
      <c r="E217" s="13">
        <v>4</v>
      </c>
      <c r="F217" s="14">
        <v>57688</v>
      </c>
      <c r="G217" s="14">
        <v>230752</v>
      </c>
      <c r="H217" s="13" t="s">
        <v>29</v>
      </c>
      <c r="I217" s="13" t="s">
        <v>30</v>
      </c>
    </row>
    <row r="218" spans="1:9" x14ac:dyDescent="0.3">
      <c r="A218" s="12">
        <v>45706</v>
      </c>
      <c r="B218" s="13" t="s">
        <v>17</v>
      </c>
      <c r="C218" s="13" t="s">
        <v>25</v>
      </c>
      <c r="D218" s="13" t="s">
        <v>16</v>
      </c>
      <c r="E218" s="13">
        <v>10</v>
      </c>
      <c r="F218" s="14">
        <v>53437</v>
      </c>
      <c r="G218" s="14">
        <v>534370</v>
      </c>
      <c r="H218" s="13" t="s">
        <v>29</v>
      </c>
      <c r="I218" s="13" t="s">
        <v>30</v>
      </c>
    </row>
    <row r="219" spans="1:9" x14ac:dyDescent="0.3">
      <c r="A219" s="12">
        <v>45706</v>
      </c>
      <c r="B219" s="13" t="s">
        <v>17</v>
      </c>
      <c r="C219" s="13" t="s">
        <v>19</v>
      </c>
      <c r="D219" s="13" t="s">
        <v>27</v>
      </c>
      <c r="E219" s="13">
        <v>10</v>
      </c>
      <c r="F219" s="14">
        <v>17105</v>
      </c>
      <c r="G219" s="14">
        <v>171050</v>
      </c>
      <c r="H219" s="13" t="s">
        <v>29</v>
      </c>
      <c r="I219" s="13" t="s">
        <v>30</v>
      </c>
    </row>
    <row r="220" spans="1:9" x14ac:dyDescent="0.3">
      <c r="A220" s="12">
        <v>45706</v>
      </c>
      <c r="B220" s="13" t="s">
        <v>17</v>
      </c>
      <c r="C220" s="13" t="s">
        <v>15</v>
      </c>
      <c r="D220" s="13" t="s">
        <v>11</v>
      </c>
      <c r="E220" s="13">
        <v>3</v>
      </c>
      <c r="F220" s="14">
        <v>21141</v>
      </c>
      <c r="G220" s="14">
        <v>63423</v>
      </c>
      <c r="H220" s="13" t="s">
        <v>29</v>
      </c>
      <c r="I220" s="13" t="s">
        <v>30</v>
      </c>
    </row>
    <row r="221" spans="1:9" x14ac:dyDescent="0.3">
      <c r="A221" s="12">
        <v>45706</v>
      </c>
      <c r="B221" s="13" t="s">
        <v>9</v>
      </c>
      <c r="C221" s="13" t="s">
        <v>15</v>
      </c>
      <c r="D221" s="13" t="s">
        <v>28</v>
      </c>
      <c r="E221" s="13">
        <v>6</v>
      </c>
      <c r="F221" s="14">
        <v>22637</v>
      </c>
      <c r="G221" s="14">
        <v>135822</v>
      </c>
      <c r="H221" s="13" t="s">
        <v>29</v>
      </c>
      <c r="I221" s="13" t="s">
        <v>30</v>
      </c>
    </row>
    <row r="222" spans="1:9" x14ac:dyDescent="0.3">
      <c r="A222" s="12">
        <v>45706</v>
      </c>
      <c r="B222" s="13" t="s">
        <v>17</v>
      </c>
      <c r="C222" s="13" t="s">
        <v>22</v>
      </c>
      <c r="D222" s="13" t="s">
        <v>26</v>
      </c>
      <c r="E222" s="13">
        <v>1</v>
      </c>
      <c r="F222" s="14">
        <v>7739</v>
      </c>
      <c r="G222" s="14">
        <v>7739</v>
      </c>
      <c r="H222" s="13" t="s">
        <v>29</v>
      </c>
      <c r="I222" s="13" t="s">
        <v>30</v>
      </c>
    </row>
    <row r="223" spans="1:9" x14ac:dyDescent="0.3">
      <c r="A223" s="12">
        <v>45707</v>
      </c>
      <c r="B223" s="13" t="s">
        <v>17</v>
      </c>
      <c r="C223" s="13" t="s">
        <v>10</v>
      </c>
      <c r="D223" s="13" t="s">
        <v>18</v>
      </c>
      <c r="E223" s="13">
        <v>9</v>
      </c>
      <c r="F223" s="14">
        <v>11536</v>
      </c>
      <c r="G223" s="14">
        <v>103824</v>
      </c>
      <c r="H223" s="13" t="s">
        <v>29</v>
      </c>
      <c r="I223" s="13" t="s">
        <v>30</v>
      </c>
    </row>
    <row r="224" spans="1:9" x14ac:dyDescent="0.3">
      <c r="A224" s="12">
        <v>45707</v>
      </c>
      <c r="B224" s="13" t="s">
        <v>9</v>
      </c>
      <c r="C224" s="13" t="s">
        <v>21</v>
      </c>
      <c r="D224" s="13" t="s">
        <v>24</v>
      </c>
      <c r="E224" s="13">
        <v>6</v>
      </c>
      <c r="F224" s="14">
        <v>3504</v>
      </c>
      <c r="G224" s="14">
        <v>21024</v>
      </c>
      <c r="H224" s="13" t="s">
        <v>29</v>
      </c>
      <c r="I224" s="13" t="s">
        <v>30</v>
      </c>
    </row>
    <row r="225" spans="1:9" x14ac:dyDescent="0.3">
      <c r="A225" s="12">
        <v>45708</v>
      </c>
      <c r="B225" s="13" t="s">
        <v>23</v>
      </c>
      <c r="C225" s="13" t="s">
        <v>22</v>
      </c>
      <c r="D225" s="13" t="s">
        <v>16</v>
      </c>
      <c r="E225" s="13">
        <v>10</v>
      </c>
      <c r="F225" s="14">
        <v>7634</v>
      </c>
      <c r="G225" s="14">
        <v>76340</v>
      </c>
      <c r="H225" s="13" t="s">
        <v>29</v>
      </c>
      <c r="I225" s="13" t="s">
        <v>30</v>
      </c>
    </row>
    <row r="226" spans="1:9" x14ac:dyDescent="0.3">
      <c r="A226" s="12">
        <v>45708</v>
      </c>
      <c r="B226" s="13" t="s">
        <v>20</v>
      </c>
      <c r="C226" s="13" t="s">
        <v>21</v>
      </c>
      <c r="D226" s="13" t="s">
        <v>28</v>
      </c>
      <c r="E226" s="13">
        <v>1</v>
      </c>
      <c r="F226" s="14">
        <v>3674</v>
      </c>
      <c r="G226" s="14">
        <v>3674</v>
      </c>
      <c r="H226" s="13" t="s">
        <v>29</v>
      </c>
      <c r="I226" s="13" t="s">
        <v>30</v>
      </c>
    </row>
    <row r="227" spans="1:9" x14ac:dyDescent="0.3">
      <c r="A227" s="12">
        <v>45709</v>
      </c>
      <c r="B227" s="13" t="s">
        <v>23</v>
      </c>
      <c r="C227" s="13" t="s">
        <v>10</v>
      </c>
      <c r="D227" s="13" t="s">
        <v>14</v>
      </c>
      <c r="E227" s="13">
        <v>8</v>
      </c>
      <c r="F227" s="14">
        <v>12254</v>
      </c>
      <c r="G227" s="14">
        <v>98032</v>
      </c>
      <c r="H227" s="13" t="s">
        <v>29</v>
      </c>
      <c r="I227" s="13" t="s">
        <v>30</v>
      </c>
    </row>
    <row r="228" spans="1:9" x14ac:dyDescent="0.3">
      <c r="A228" s="12">
        <v>45709</v>
      </c>
      <c r="B228" s="13" t="s">
        <v>23</v>
      </c>
      <c r="C228" s="13" t="s">
        <v>25</v>
      </c>
      <c r="D228" s="13" t="s">
        <v>14</v>
      </c>
      <c r="E228" s="13">
        <v>6</v>
      </c>
      <c r="F228" s="14">
        <v>55595</v>
      </c>
      <c r="G228" s="14">
        <v>333570</v>
      </c>
      <c r="H228" s="13" t="s">
        <v>29</v>
      </c>
      <c r="I228" s="13" t="s">
        <v>30</v>
      </c>
    </row>
    <row r="229" spans="1:9" x14ac:dyDescent="0.3">
      <c r="A229" s="12">
        <v>45709</v>
      </c>
      <c r="B229" s="13" t="s">
        <v>9</v>
      </c>
      <c r="C229" s="13" t="s">
        <v>15</v>
      </c>
      <c r="D229" s="13" t="s">
        <v>11</v>
      </c>
      <c r="E229" s="13">
        <v>10</v>
      </c>
      <c r="F229" s="14">
        <v>22292</v>
      </c>
      <c r="G229" s="14">
        <v>222920</v>
      </c>
      <c r="H229" s="13" t="s">
        <v>29</v>
      </c>
      <c r="I229" s="13" t="s">
        <v>30</v>
      </c>
    </row>
    <row r="230" spans="1:9" x14ac:dyDescent="0.3">
      <c r="A230" s="12">
        <v>45709</v>
      </c>
      <c r="B230" s="13" t="s">
        <v>20</v>
      </c>
      <c r="C230" s="13" t="s">
        <v>21</v>
      </c>
      <c r="D230" s="13" t="s">
        <v>11</v>
      </c>
      <c r="E230" s="13">
        <v>8</v>
      </c>
      <c r="F230" s="14">
        <v>3501</v>
      </c>
      <c r="G230" s="14">
        <v>28008</v>
      </c>
      <c r="H230" s="13" t="s">
        <v>29</v>
      </c>
      <c r="I230" s="13" t="s">
        <v>30</v>
      </c>
    </row>
    <row r="231" spans="1:9" x14ac:dyDescent="0.3">
      <c r="A231" s="12">
        <v>45709</v>
      </c>
      <c r="B231" s="13" t="s">
        <v>23</v>
      </c>
      <c r="C231" s="13" t="s">
        <v>25</v>
      </c>
      <c r="D231" s="13" t="s">
        <v>14</v>
      </c>
      <c r="E231" s="13">
        <v>9</v>
      </c>
      <c r="F231" s="14">
        <v>56214</v>
      </c>
      <c r="G231" s="14">
        <v>505926</v>
      </c>
      <c r="H231" s="13" t="s">
        <v>29</v>
      </c>
      <c r="I231" s="13" t="s">
        <v>30</v>
      </c>
    </row>
    <row r="232" spans="1:9" x14ac:dyDescent="0.3">
      <c r="A232" s="12">
        <v>45710</v>
      </c>
      <c r="B232" s="13" t="s">
        <v>23</v>
      </c>
      <c r="C232" s="13" t="s">
        <v>21</v>
      </c>
      <c r="D232" s="13" t="s">
        <v>16</v>
      </c>
      <c r="E232" s="13">
        <v>7</v>
      </c>
      <c r="F232" s="14">
        <v>3443</v>
      </c>
      <c r="G232" s="14">
        <v>24101</v>
      </c>
      <c r="H232" s="13" t="s">
        <v>29</v>
      </c>
      <c r="I232" s="13" t="s">
        <v>30</v>
      </c>
    </row>
    <row r="233" spans="1:9" x14ac:dyDescent="0.3">
      <c r="A233" s="12">
        <v>45710</v>
      </c>
      <c r="B233" s="13" t="s">
        <v>23</v>
      </c>
      <c r="C233" s="13" t="s">
        <v>21</v>
      </c>
      <c r="D233" s="13" t="s">
        <v>18</v>
      </c>
      <c r="E233" s="13">
        <v>2</v>
      </c>
      <c r="F233" s="14">
        <v>3434</v>
      </c>
      <c r="G233" s="14">
        <v>6868</v>
      </c>
      <c r="H233" s="13" t="s">
        <v>29</v>
      </c>
      <c r="I233" s="13" t="s">
        <v>30</v>
      </c>
    </row>
    <row r="234" spans="1:9" x14ac:dyDescent="0.3">
      <c r="A234" s="12">
        <v>45710</v>
      </c>
      <c r="B234" s="13" t="s">
        <v>20</v>
      </c>
      <c r="C234" s="13" t="s">
        <v>10</v>
      </c>
      <c r="D234" s="13" t="s">
        <v>11</v>
      </c>
      <c r="E234" s="13">
        <v>6</v>
      </c>
      <c r="F234" s="14">
        <v>12544</v>
      </c>
      <c r="G234" s="14">
        <v>75264</v>
      </c>
      <c r="H234" s="13" t="s">
        <v>29</v>
      </c>
      <c r="I234" s="13" t="s">
        <v>30</v>
      </c>
    </row>
    <row r="235" spans="1:9" x14ac:dyDescent="0.3">
      <c r="A235" s="12">
        <v>45711</v>
      </c>
      <c r="B235" s="13" t="s">
        <v>9</v>
      </c>
      <c r="C235" s="13" t="s">
        <v>25</v>
      </c>
      <c r="D235" s="13" t="s">
        <v>14</v>
      </c>
      <c r="E235" s="13">
        <v>2</v>
      </c>
      <c r="F235" s="14">
        <v>54625</v>
      </c>
      <c r="G235" s="14">
        <v>109250</v>
      </c>
      <c r="H235" s="13" t="s">
        <v>29</v>
      </c>
      <c r="I235" s="13" t="s">
        <v>30</v>
      </c>
    </row>
    <row r="236" spans="1:9" x14ac:dyDescent="0.3">
      <c r="A236" s="12">
        <v>45711</v>
      </c>
      <c r="B236" s="13" t="s">
        <v>20</v>
      </c>
      <c r="C236" s="13" t="s">
        <v>15</v>
      </c>
      <c r="D236" s="13" t="s">
        <v>28</v>
      </c>
      <c r="E236" s="13">
        <v>10</v>
      </c>
      <c r="F236" s="14">
        <v>23004</v>
      </c>
      <c r="G236" s="14">
        <v>230040</v>
      </c>
      <c r="H236" s="13" t="s">
        <v>29</v>
      </c>
      <c r="I236" s="13" t="s">
        <v>30</v>
      </c>
    </row>
    <row r="237" spans="1:9" x14ac:dyDescent="0.3">
      <c r="A237" s="12">
        <v>45711</v>
      </c>
      <c r="B237" s="13" t="s">
        <v>20</v>
      </c>
      <c r="C237" s="13" t="s">
        <v>10</v>
      </c>
      <c r="D237" s="13" t="s">
        <v>14</v>
      </c>
      <c r="E237" s="13">
        <v>7</v>
      </c>
      <c r="F237" s="14">
        <v>11824</v>
      </c>
      <c r="G237" s="14">
        <v>82768</v>
      </c>
      <c r="H237" s="13" t="s">
        <v>29</v>
      </c>
      <c r="I237" s="13" t="s">
        <v>30</v>
      </c>
    </row>
    <row r="238" spans="1:9" x14ac:dyDescent="0.3">
      <c r="A238" s="12">
        <v>45711</v>
      </c>
      <c r="B238" s="13" t="s">
        <v>23</v>
      </c>
      <c r="C238" s="13" t="s">
        <v>10</v>
      </c>
      <c r="D238" s="13" t="s">
        <v>28</v>
      </c>
      <c r="E238" s="13">
        <v>5</v>
      </c>
      <c r="F238" s="14">
        <v>12120</v>
      </c>
      <c r="G238" s="14">
        <v>60600</v>
      </c>
      <c r="H238" s="13" t="s">
        <v>29</v>
      </c>
      <c r="I238" s="13" t="s">
        <v>30</v>
      </c>
    </row>
    <row r="239" spans="1:9" x14ac:dyDescent="0.3">
      <c r="A239" s="12">
        <v>45711</v>
      </c>
      <c r="B239" s="13" t="s">
        <v>20</v>
      </c>
      <c r="C239" s="13" t="s">
        <v>25</v>
      </c>
      <c r="D239" s="13" t="s">
        <v>16</v>
      </c>
      <c r="E239" s="13">
        <v>3</v>
      </c>
      <c r="F239" s="14">
        <v>55862</v>
      </c>
      <c r="G239" s="14">
        <v>167586</v>
      </c>
      <c r="H239" s="13" t="s">
        <v>29</v>
      </c>
      <c r="I239" s="13" t="s">
        <v>30</v>
      </c>
    </row>
    <row r="240" spans="1:9" x14ac:dyDescent="0.3">
      <c r="A240" s="12">
        <v>45712</v>
      </c>
      <c r="B240" s="13" t="s">
        <v>9</v>
      </c>
      <c r="C240" s="13" t="s">
        <v>19</v>
      </c>
      <c r="D240" s="13" t="s">
        <v>26</v>
      </c>
      <c r="E240" s="13">
        <v>2</v>
      </c>
      <c r="F240" s="14">
        <v>18472</v>
      </c>
      <c r="G240" s="14">
        <v>36944</v>
      </c>
      <c r="H240" s="13" t="s">
        <v>29</v>
      </c>
      <c r="I240" s="13" t="s">
        <v>30</v>
      </c>
    </row>
    <row r="241" spans="1:9" x14ac:dyDescent="0.3">
      <c r="A241" s="12">
        <v>45712</v>
      </c>
      <c r="B241" s="13" t="s">
        <v>17</v>
      </c>
      <c r="C241" s="13" t="s">
        <v>21</v>
      </c>
      <c r="D241" s="13" t="s">
        <v>28</v>
      </c>
      <c r="E241" s="13">
        <v>10</v>
      </c>
      <c r="F241" s="14">
        <v>3650</v>
      </c>
      <c r="G241" s="14">
        <v>36500</v>
      </c>
      <c r="H241" s="13" t="s">
        <v>29</v>
      </c>
      <c r="I241" s="13" t="s">
        <v>30</v>
      </c>
    </row>
    <row r="242" spans="1:9" x14ac:dyDescent="0.3">
      <c r="A242" s="12">
        <v>45712</v>
      </c>
      <c r="B242" s="13" t="s">
        <v>20</v>
      </c>
      <c r="C242" s="13" t="s">
        <v>25</v>
      </c>
      <c r="D242" s="13" t="s">
        <v>27</v>
      </c>
      <c r="E242" s="13">
        <v>5</v>
      </c>
      <c r="F242" s="14">
        <v>56114</v>
      </c>
      <c r="G242" s="14">
        <v>280570</v>
      </c>
      <c r="H242" s="13" t="s">
        <v>29</v>
      </c>
      <c r="I242" s="13" t="s">
        <v>30</v>
      </c>
    </row>
    <row r="243" spans="1:9" x14ac:dyDescent="0.3">
      <c r="A243" s="12">
        <v>45713</v>
      </c>
      <c r="B243" s="13" t="s">
        <v>20</v>
      </c>
      <c r="C243" s="13" t="s">
        <v>19</v>
      </c>
      <c r="D243" s="13" t="s">
        <v>28</v>
      </c>
      <c r="E243" s="13">
        <v>3</v>
      </c>
      <c r="F243" s="14">
        <v>18665</v>
      </c>
      <c r="G243" s="14">
        <v>55995</v>
      </c>
      <c r="H243" s="13" t="s">
        <v>29</v>
      </c>
      <c r="I243" s="13" t="s">
        <v>30</v>
      </c>
    </row>
    <row r="244" spans="1:9" x14ac:dyDescent="0.3">
      <c r="A244" s="12">
        <v>45713</v>
      </c>
      <c r="B244" s="13" t="s">
        <v>23</v>
      </c>
      <c r="C244" s="13" t="s">
        <v>25</v>
      </c>
      <c r="D244" s="13" t="s">
        <v>27</v>
      </c>
      <c r="E244" s="13">
        <v>1</v>
      </c>
      <c r="F244" s="14">
        <v>52754</v>
      </c>
      <c r="G244" s="14">
        <v>52754</v>
      </c>
      <c r="H244" s="13" t="s">
        <v>29</v>
      </c>
      <c r="I244" s="13" t="s">
        <v>30</v>
      </c>
    </row>
    <row r="245" spans="1:9" x14ac:dyDescent="0.3">
      <c r="A245" s="12">
        <v>45713</v>
      </c>
      <c r="B245" s="13" t="s">
        <v>17</v>
      </c>
      <c r="C245" s="13" t="s">
        <v>21</v>
      </c>
      <c r="D245" s="13" t="s">
        <v>18</v>
      </c>
      <c r="E245" s="13">
        <v>8</v>
      </c>
      <c r="F245" s="14">
        <v>3444</v>
      </c>
      <c r="G245" s="14">
        <v>27552</v>
      </c>
      <c r="H245" s="13" t="s">
        <v>29</v>
      </c>
      <c r="I245" s="13" t="s">
        <v>30</v>
      </c>
    </row>
    <row r="246" spans="1:9" x14ac:dyDescent="0.3">
      <c r="A246" s="12">
        <v>45713</v>
      </c>
      <c r="B246" s="13" t="s">
        <v>20</v>
      </c>
      <c r="C246" s="13" t="s">
        <v>19</v>
      </c>
      <c r="D246" s="13" t="s">
        <v>26</v>
      </c>
      <c r="E246" s="13">
        <v>10</v>
      </c>
      <c r="F246" s="14">
        <v>18173</v>
      </c>
      <c r="G246" s="14">
        <v>181730</v>
      </c>
      <c r="H246" s="13" t="s">
        <v>29</v>
      </c>
      <c r="I246" s="13" t="s">
        <v>30</v>
      </c>
    </row>
    <row r="247" spans="1:9" x14ac:dyDescent="0.3">
      <c r="A247" s="12">
        <v>45714</v>
      </c>
      <c r="B247" s="13" t="s">
        <v>17</v>
      </c>
      <c r="C247" s="13" t="s">
        <v>15</v>
      </c>
      <c r="D247" s="13" t="s">
        <v>28</v>
      </c>
      <c r="E247" s="13">
        <v>2</v>
      </c>
      <c r="F247" s="14">
        <v>21498</v>
      </c>
      <c r="G247" s="14">
        <v>42996</v>
      </c>
      <c r="H247" s="13" t="s">
        <v>29</v>
      </c>
      <c r="I247" s="13" t="s">
        <v>30</v>
      </c>
    </row>
    <row r="248" spans="1:9" x14ac:dyDescent="0.3">
      <c r="A248" s="12">
        <v>45714</v>
      </c>
      <c r="B248" s="13" t="s">
        <v>23</v>
      </c>
      <c r="C248" s="13" t="s">
        <v>21</v>
      </c>
      <c r="D248" s="13" t="s">
        <v>24</v>
      </c>
      <c r="E248" s="13">
        <v>7</v>
      </c>
      <c r="F248" s="14">
        <v>3420</v>
      </c>
      <c r="G248" s="14">
        <v>23940</v>
      </c>
      <c r="H248" s="13" t="s">
        <v>29</v>
      </c>
      <c r="I248" s="13" t="s">
        <v>30</v>
      </c>
    </row>
    <row r="249" spans="1:9" x14ac:dyDescent="0.3">
      <c r="A249" s="12">
        <v>45715</v>
      </c>
      <c r="B249" s="13" t="s">
        <v>9</v>
      </c>
      <c r="C249" s="13" t="s">
        <v>19</v>
      </c>
      <c r="D249" s="13" t="s">
        <v>18</v>
      </c>
      <c r="E249" s="13">
        <v>2</v>
      </c>
      <c r="F249" s="14">
        <v>17609</v>
      </c>
      <c r="G249" s="14">
        <v>35218</v>
      </c>
      <c r="H249" s="13" t="s">
        <v>29</v>
      </c>
      <c r="I249" s="13" t="s">
        <v>30</v>
      </c>
    </row>
    <row r="250" spans="1:9" x14ac:dyDescent="0.3">
      <c r="A250" s="12">
        <v>45715</v>
      </c>
      <c r="B250" s="13" t="s">
        <v>23</v>
      </c>
      <c r="C250" s="13" t="s">
        <v>22</v>
      </c>
      <c r="D250" s="13" t="s">
        <v>11</v>
      </c>
      <c r="E250" s="13">
        <v>1</v>
      </c>
      <c r="F250" s="14">
        <v>7776</v>
      </c>
      <c r="G250" s="14">
        <v>7776</v>
      </c>
      <c r="H250" s="13" t="s">
        <v>29</v>
      </c>
      <c r="I250" s="13" t="s">
        <v>30</v>
      </c>
    </row>
    <row r="251" spans="1:9" x14ac:dyDescent="0.3">
      <c r="A251" s="12">
        <v>45715</v>
      </c>
      <c r="B251" s="13" t="s">
        <v>9</v>
      </c>
      <c r="C251" s="13" t="s">
        <v>25</v>
      </c>
      <c r="D251" s="13" t="s">
        <v>16</v>
      </c>
      <c r="E251" s="13">
        <v>5</v>
      </c>
      <c r="F251" s="14">
        <v>57449</v>
      </c>
      <c r="G251" s="14">
        <v>287245</v>
      </c>
      <c r="H251" s="13" t="s">
        <v>29</v>
      </c>
      <c r="I251" s="13" t="s">
        <v>30</v>
      </c>
    </row>
    <row r="252" spans="1:9" x14ac:dyDescent="0.3">
      <c r="A252" s="12">
        <v>45715</v>
      </c>
      <c r="B252" s="13" t="s">
        <v>17</v>
      </c>
      <c r="C252" s="13" t="s">
        <v>19</v>
      </c>
      <c r="D252" s="13" t="s">
        <v>11</v>
      </c>
      <c r="E252" s="13">
        <v>6</v>
      </c>
      <c r="F252" s="14">
        <v>17315</v>
      </c>
      <c r="G252" s="14">
        <v>103890</v>
      </c>
      <c r="H252" s="13" t="s">
        <v>29</v>
      </c>
      <c r="I252" s="13" t="s">
        <v>30</v>
      </c>
    </row>
    <row r="253" spans="1:9" x14ac:dyDescent="0.3">
      <c r="A253" s="12">
        <v>45715</v>
      </c>
      <c r="B253" s="13" t="s">
        <v>23</v>
      </c>
      <c r="C253" s="13" t="s">
        <v>10</v>
      </c>
      <c r="D253" s="13" t="s">
        <v>18</v>
      </c>
      <c r="E253" s="13">
        <v>3</v>
      </c>
      <c r="F253" s="14">
        <v>11555</v>
      </c>
      <c r="G253" s="14">
        <v>34665</v>
      </c>
      <c r="H253" s="13" t="s">
        <v>29</v>
      </c>
      <c r="I253" s="13" t="s">
        <v>30</v>
      </c>
    </row>
    <row r="254" spans="1:9" x14ac:dyDescent="0.3">
      <c r="A254" s="12">
        <v>45715</v>
      </c>
      <c r="B254" s="13" t="s">
        <v>17</v>
      </c>
      <c r="C254" s="13" t="s">
        <v>22</v>
      </c>
      <c r="D254" s="13" t="s">
        <v>26</v>
      </c>
      <c r="E254" s="13">
        <v>2</v>
      </c>
      <c r="F254" s="14">
        <v>7917</v>
      </c>
      <c r="G254" s="14">
        <v>15834</v>
      </c>
      <c r="H254" s="13" t="s">
        <v>29</v>
      </c>
      <c r="I254" s="13" t="s">
        <v>30</v>
      </c>
    </row>
    <row r="255" spans="1:9" x14ac:dyDescent="0.3">
      <c r="A255" s="12">
        <v>45716</v>
      </c>
      <c r="B255" s="13" t="s">
        <v>23</v>
      </c>
      <c r="C255" s="13" t="s">
        <v>25</v>
      </c>
      <c r="D255" s="13" t="s">
        <v>24</v>
      </c>
      <c r="E255" s="13">
        <v>2</v>
      </c>
      <c r="F255" s="14">
        <v>56991</v>
      </c>
      <c r="G255" s="14">
        <v>113982</v>
      </c>
      <c r="H255" s="13" t="s">
        <v>29</v>
      </c>
      <c r="I255" s="13" t="s">
        <v>30</v>
      </c>
    </row>
    <row r="256" spans="1:9" x14ac:dyDescent="0.3">
      <c r="A256" s="12">
        <v>45716</v>
      </c>
      <c r="B256" s="13" t="s">
        <v>23</v>
      </c>
      <c r="C256" s="13" t="s">
        <v>22</v>
      </c>
      <c r="D256" s="13" t="s">
        <v>18</v>
      </c>
      <c r="E256" s="13">
        <v>7</v>
      </c>
      <c r="F256" s="14">
        <v>7831</v>
      </c>
      <c r="G256" s="14">
        <v>54817</v>
      </c>
      <c r="H256" s="13" t="s">
        <v>29</v>
      </c>
      <c r="I256" s="13" t="s">
        <v>30</v>
      </c>
    </row>
    <row r="257" spans="1:9" x14ac:dyDescent="0.3">
      <c r="A257" s="12">
        <v>45717</v>
      </c>
      <c r="B257" s="13" t="s">
        <v>9</v>
      </c>
      <c r="C257" s="13" t="s">
        <v>19</v>
      </c>
      <c r="D257" s="13" t="s">
        <v>27</v>
      </c>
      <c r="E257" s="13">
        <v>10</v>
      </c>
      <c r="F257" s="14">
        <v>17928</v>
      </c>
      <c r="G257" s="14">
        <v>179280</v>
      </c>
      <c r="H257" s="13" t="s">
        <v>31</v>
      </c>
      <c r="I257" s="13" t="s">
        <v>32</v>
      </c>
    </row>
    <row r="258" spans="1:9" x14ac:dyDescent="0.3">
      <c r="A258" s="12">
        <v>45717</v>
      </c>
      <c r="B258" s="13" t="s">
        <v>20</v>
      </c>
      <c r="C258" s="13" t="s">
        <v>25</v>
      </c>
      <c r="D258" s="13" t="s">
        <v>18</v>
      </c>
      <c r="E258" s="13">
        <v>2</v>
      </c>
      <c r="F258" s="14">
        <v>53588</v>
      </c>
      <c r="G258" s="14">
        <v>107176</v>
      </c>
      <c r="H258" s="13" t="s">
        <v>31</v>
      </c>
      <c r="I258" s="13" t="s">
        <v>32</v>
      </c>
    </row>
    <row r="259" spans="1:9" x14ac:dyDescent="0.3">
      <c r="A259" s="12">
        <v>45717</v>
      </c>
      <c r="B259" s="13" t="s">
        <v>23</v>
      </c>
      <c r="C259" s="13" t="s">
        <v>22</v>
      </c>
      <c r="D259" s="13" t="s">
        <v>14</v>
      </c>
      <c r="E259" s="13">
        <v>7</v>
      </c>
      <c r="F259" s="14">
        <v>8296</v>
      </c>
      <c r="G259" s="14">
        <v>58072</v>
      </c>
      <c r="H259" s="13" t="s">
        <v>31</v>
      </c>
      <c r="I259" s="13" t="s">
        <v>32</v>
      </c>
    </row>
    <row r="260" spans="1:9" x14ac:dyDescent="0.3">
      <c r="A260" s="12">
        <v>45717</v>
      </c>
      <c r="B260" s="13" t="s">
        <v>20</v>
      </c>
      <c r="C260" s="13" t="s">
        <v>15</v>
      </c>
      <c r="D260" s="13" t="s">
        <v>26</v>
      </c>
      <c r="E260" s="13">
        <v>3</v>
      </c>
      <c r="F260" s="14">
        <v>21068</v>
      </c>
      <c r="G260" s="14">
        <v>63204</v>
      </c>
      <c r="H260" s="13" t="s">
        <v>31</v>
      </c>
      <c r="I260" s="13" t="s">
        <v>32</v>
      </c>
    </row>
    <row r="261" spans="1:9" x14ac:dyDescent="0.3">
      <c r="A261" s="12">
        <v>45717</v>
      </c>
      <c r="B261" s="13" t="s">
        <v>9</v>
      </c>
      <c r="C261" s="13" t="s">
        <v>22</v>
      </c>
      <c r="D261" s="13" t="s">
        <v>16</v>
      </c>
      <c r="E261" s="13">
        <v>6</v>
      </c>
      <c r="F261" s="14">
        <v>7880</v>
      </c>
      <c r="G261" s="14">
        <v>47280</v>
      </c>
      <c r="H261" s="13" t="s">
        <v>31</v>
      </c>
      <c r="I261" s="13" t="s">
        <v>32</v>
      </c>
    </row>
    <row r="262" spans="1:9" x14ac:dyDescent="0.3">
      <c r="A262" s="12">
        <v>45718</v>
      </c>
      <c r="B262" s="13" t="s">
        <v>17</v>
      </c>
      <c r="C262" s="13" t="s">
        <v>25</v>
      </c>
      <c r="D262" s="13" t="s">
        <v>27</v>
      </c>
      <c r="E262" s="13">
        <v>5</v>
      </c>
      <c r="F262" s="14">
        <v>53334</v>
      </c>
      <c r="G262" s="14">
        <v>266670</v>
      </c>
      <c r="H262" s="13" t="s">
        <v>31</v>
      </c>
      <c r="I262" s="13" t="s">
        <v>32</v>
      </c>
    </row>
    <row r="263" spans="1:9" x14ac:dyDescent="0.3">
      <c r="A263" s="12">
        <v>45718</v>
      </c>
      <c r="B263" s="13" t="s">
        <v>17</v>
      </c>
      <c r="C263" s="13" t="s">
        <v>10</v>
      </c>
      <c r="D263" s="13" t="s">
        <v>14</v>
      </c>
      <c r="E263" s="13">
        <v>3</v>
      </c>
      <c r="F263" s="14">
        <v>12541</v>
      </c>
      <c r="G263" s="14">
        <v>37623</v>
      </c>
      <c r="H263" s="13" t="s">
        <v>31</v>
      </c>
      <c r="I263" s="13" t="s">
        <v>32</v>
      </c>
    </row>
    <row r="264" spans="1:9" x14ac:dyDescent="0.3">
      <c r="A264" s="12">
        <v>45718</v>
      </c>
      <c r="B264" s="13" t="s">
        <v>23</v>
      </c>
      <c r="C264" s="13" t="s">
        <v>21</v>
      </c>
      <c r="D264" s="13" t="s">
        <v>24</v>
      </c>
      <c r="E264" s="13">
        <v>10</v>
      </c>
      <c r="F264" s="14">
        <v>3550</v>
      </c>
      <c r="G264" s="14">
        <v>35500</v>
      </c>
      <c r="H264" s="13" t="s">
        <v>31</v>
      </c>
      <c r="I264" s="13" t="s">
        <v>32</v>
      </c>
    </row>
    <row r="265" spans="1:9" x14ac:dyDescent="0.3">
      <c r="A265" s="12">
        <v>45719</v>
      </c>
      <c r="B265" s="13" t="s">
        <v>20</v>
      </c>
      <c r="C265" s="13" t="s">
        <v>10</v>
      </c>
      <c r="D265" s="13" t="s">
        <v>26</v>
      </c>
      <c r="E265" s="13">
        <v>3</v>
      </c>
      <c r="F265" s="14">
        <v>11927</v>
      </c>
      <c r="G265" s="14">
        <v>35781</v>
      </c>
      <c r="H265" s="13" t="s">
        <v>31</v>
      </c>
      <c r="I265" s="13" t="s">
        <v>32</v>
      </c>
    </row>
    <row r="266" spans="1:9" x14ac:dyDescent="0.3">
      <c r="A266" s="12">
        <v>45719</v>
      </c>
      <c r="B266" s="13" t="s">
        <v>23</v>
      </c>
      <c r="C266" s="13" t="s">
        <v>21</v>
      </c>
      <c r="D266" s="13" t="s">
        <v>11</v>
      </c>
      <c r="E266" s="13">
        <v>5</v>
      </c>
      <c r="F266" s="14">
        <v>3531</v>
      </c>
      <c r="G266" s="14">
        <v>17655</v>
      </c>
      <c r="H266" s="13" t="s">
        <v>31</v>
      </c>
      <c r="I266" s="13" t="s">
        <v>32</v>
      </c>
    </row>
    <row r="267" spans="1:9" x14ac:dyDescent="0.3">
      <c r="A267" s="12">
        <v>45719</v>
      </c>
      <c r="B267" s="13" t="s">
        <v>20</v>
      </c>
      <c r="C267" s="13" t="s">
        <v>22</v>
      </c>
      <c r="D267" s="13" t="s">
        <v>14</v>
      </c>
      <c r="E267" s="13">
        <v>5</v>
      </c>
      <c r="F267" s="14">
        <v>7969</v>
      </c>
      <c r="G267" s="14">
        <v>39845</v>
      </c>
      <c r="H267" s="13" t="s">
        <v>31</v>
      </c>
      <c r="I267" s="13" t="s">
        <v>32</v>
      </c>
    </row>
    <row r="268" spans="1:9" x14ac:dyDescent="0.3">
      <c r="A268" s="12">
        <v>45719</v>
      </c>
      <c r="B268" s="13" t="s">
        <v>9</v>
      </c>
      <c r="C268" s="13" t="s">
        <v>25</v>
      </c>
      <c r="D268" s="13" t="s">
        <v>26</v>
      </c>
      <c r="E268" s="13">
        <v>5</v>
      </c>
      <c r="F268" s="14">
        <v>52672</v>
      </c>
      <c r="G268" s="14">
        <v>263360</v>
      </c>
      <c r="H268" s="13" t="s">
        <v>31</v>
      </c>
      <c r="I268" s="13" t="s">
        <v>32</v>
      </c>
    </row>
    <row r="269" spans="1:9" x14ac:dyDescent="0.3">
      <c r="A269" s="12">
        <v>45719</v>
      </c>
      <c r="B269" s="13" t="s">
        <v>9</v>
      </c>
      <c r="C269" s="13" t="s">
        <v>22</v>
      </c>
      <c r="D269" s="13" t="s">
        <v>18</v>
      </c>
      <c r="E269" s="13">
        <v>8</v>
      </c>
      <c r="F269" s="14">
        <v>8064</v>
      </c>
      <c r="G269" s="14">
        <v>64512</v>
      </c>
      <c r="H269" s="13" t="s">
        <v>31</v>
      </c>
      <c r="I269" s="13" t="s">
        <v>32</v>
      </c>
    </row>
    <row r="270" spans="1:9" x14ac:dyDescent="0.3">
      <c r="A270" s="12">
        <v>45719</v>
      </c>
      <c r="B270" s="13" t="s">
        <v>9</v>
      </c>
      <c r="C270" s="13" t="s">
        <v>21</v>
      </c>
      <c r="D270" s="13" t="s">
        <v>16</v>
      </c>
      <c r="E270" s="13">
        <v>6</v>
      </c>
      <c r="F270" s="14">
        <v>3536</v>
      </c>
      <c r="G270" s="14">
        <v>21216</v>
      </c>
      <c r="H270" s="13" t="s">
        <v>31</v>
      </c>
      <c r="I270" s="13" t="s">
        <v>32</v>
      </c>
    </row>
    <row r="271" spans="1:9" x14ac:dyDescent="0.3">
      <c r="A271" s="12">
        <v>45720</v>
      </c>
      <c r="B271" s="13" t="s">
        <v>17</v>
      </c>
      <c r="C271" s="13" t="s">
        <v>25</v>
      </c>
      <c r="D271" s="13" t="s">
        <v>24</v>
      </c>
      <c r="E271" s="13">
        <v>2</v>
      </c>
      <c r="F271" s="14">
        <v>56710</v>
      </c>
      <c r="G271" s="14">
        <v>113420</v>
      </c>
      <c r="H271" s="13" t="s">
        <v>31</v>
      </c>
      <c r="I271" s="13" t="s">
        <v>32</v>
      </c>
    </row>
    <row r="272" spans="1:9" x14ac:dyDescent="0.3">
      <c r="A272" s="12">
        <v>45720</v>
      </c>
      <c r="B272" s="13" t="s">
        <v>20</v>
      </c>
      <c r="C272" s="13" t="s">
        <v>10</v>
      </c>
      <c r="D272" s="13" t="s">
        <v>14</v>
      </c>
      <c r="E272" s="13">
        <v>9</v>
      </c>
      <c r="F272" s="14">
        <v>12175</v>
      </c>
      <c r="G272" s="14">
        <v>109575</v>
      </c>
      <c r="H272" s="13" t="s">
        <v>31</v>
      </c>
      <c r="I272" s="13" t="s">
        <v>32</v>
      </c>
    </row>
    <row r="273" spans="1:9" x14ac:dyDescent="0.3">
      <c r="A273" s="12">
        <v>45720</v>
      </c>
      <c r="B273" s="13" t="s">
        <v>9</v>
      </c>
      <c r="C273" s="13" t="s">
        <v>15</v>
      </c>
      <c r="D273" s="13" t="s">
        <v>24</v>
      </c>
      <c r="E273" s="13">
        <v>8</v>
      </c>
      <c r="F273" s="14">
        <v>22052</v>
      </c>
      <c r="G273" s="14">
        <v>176416</v>
      </c>
      <c r="H273" s="13" t="s">
        <v>31</v>
      </c>
      <c r="I273" s="13" t="s">
        <v>32</v>
      </c>
    </row>
    <row r="274" spans="1:9" x14ac:dyDescent="0.3">
      <c r="A274" s="12">
        <v>45720</v>
      </c>
      <c r="B274" s="13" t="s">
        <v>17</v>
      </c>
      <c r="C274" s="13" t="s">
        <v>19</v>
      </c>
      <c r="D274" s="13" t="s">
        <v>26</v>
      </c>
      <c r="E274" s="13">
        <v>5</v>
      </c>
      <c r="F274" s="14">
        <v>17797</v>
      </c>
      <c r="G274" s="14">
        <v>88985</v>
      </c>
      <c r="H274" s="13" t="s">
        <v>31</v>
      </c>
      <c r="I274" s="13" t="s">
        <v>32</v>
      </c>
    </row>
    <row r="275" spans="1:9" x14ac:dyDescent="0.3">
      <c r="A275" s="12">
        <v>45720</v>
      </c>
      <c r="B275" s="13" t="s">
        <v>20</v>
      </c>
      <c r="C275" s="13" t="s">
        <v>10</v>
      </c>
      <c r="D275" s="13" t="s">
        <v>28</v>
      </c>
      <c r="E275" s="13">
        <v>6</v>
      </c>
      <c r="F275" s="14">
        <v>11479</v>
      </c>
      <c r="G275" s="14">
        <v>68874</v>
      </c>
      <c r="H275" s="13" t="s">
        <v>31</v>
      </c>
      <c r="I275" s="13" t="s">
        <v>32</v>
      </c>
    </row>
    <row r="276" spans="1:9" x14ac:dyDescent="0.3">
      <c r="A276" s="12">
        <v>45720</v>
      </c>
      <c r="B276" s="13" t="s">
        <v>9</v>
      </c>
      <c r="C276" s="13" t="s">
        <v>22</v>
      </c>
      <c r="D276" s="13" t="s">
        <v>18</v>
      </c>
      <c r="E276" s="13">
        <v>5</v>
      </c>
      <c r="F276" s="14">
        <v>7801</v>
      </c>
      <c r="G276" s="14">
        <v>39005</v>
      </c>
      <c r="H276" s="13" t="s">
        <v>31</v>
      </c>
      <c r="I276" s="13" t="s">
        <v>32</v>
      </c>
    </row>
    <row r="277" spans="1:9" x14ac:dyDescent="0.3">
      <c r="A277" s="12">
        <v>45721</v>
      </c>
      <c r="B277" s="13" t="s">
        <v>17</v>
      </c>
      <c r="C277" s="13" t="s">
        <v>19</v>
      </c>
      <c r="D277" s="13" t="s">
        <v>14</v>
      </c>
      <c r="E277" s="13">
        <v>10</v>
      </c>
      <c r="F277" s="14">
        <v>18294</v>
      </c>
      <c r="G277" s="14">
        <v>182940</v>
      </c>
      <c r="H277" s="13" t="s">
        <v>31</v>
      </c>
      <c r="I277" s="13" t="s">
        <v>32</v>
      </c>
    </row>
    <row r="278" spans="1:9" x14ac:dyDescent="0.3">
      <c r="A278" s="12">
        <v>45721</v>
      </c>
      <c r="B278" s="13" t="s">
        <v>20</v>
      </c>
      <c r="C278" s="13" t="s">
        <v>19</v>
      </c>
      <c r="D278" s="13" t="s">
        <v>18</v>
      </c>
      <c r="E278" s="13">
        <v>3</v>
      </c>
      <c r="F278" s="14">
        <v>18171</v>
      </c>
      <c r="G278" s="14">
        <v>54513</v>
      </c>
      <c r="H278" s="13" t="s">
        <v>31</v>
      </c>
      <c r="I278" s="13" t="s">
        <v>32</v>
      </c>
    </row>
    <row r="279" spans="1:9" x14ac:dyDescent="0.3">
      <c r="A279" s="12">
        <v>45721</v>
      </c>
      <c r="B279" s="13" t="s">
        <v>9</v>
      </c>
      <c r="C279" s="13" t="s">
        <v>19</v>
      </c>
      <c r="D279" s="13" t="s">
        <v>18</v>
      </c>
      <c r="E279" s="13">
        <v>6</v>
      </c>
      <c r="F279" s="14">
        <v>18563</v>
      </c>
      <c r="G279" s="14">
        <v>111378</v>
      </c>
      <c r="H279" s="13" t="s">
        <v>31</v>
      </c>
      <c r="I279" s="13" t="s">
        <v>32</v>
      </c>
    </row>
    <row r="280" spans="1:9" x14ac:dyDescent="0.3">
      <c r="A280" s="12">
        <v>45721</v>
      </c>
      <c r="B280" s="13" t="s">
        <v>9</v>
      </c>
      <c r="C280" s="13" t="s">
        <v>10</v>
      </c>
      <c r="D280" s="13" t="s">
        <v>18</v>
      </c>
      <c r="E280" s="13">
        <v>9</v>
      </c>
      <c r="F280" s="14">
        <v>11834</v>
      </c>
      <c r="G280" s="14">
        <v>106506</v>
      </c>
      <c r="H280" s="13" t="s">
        <v>31</v>
      </c>
      <c r="I280" s="13" t="s">
        <v>32</v>
      </c>
    </row>
    <row r="281" spans="1:9" x14ac:dyDescent="0.3">
      <c r="A281" s="12">
        <v>45721</v>
      </c>
      <c r="B281" s="13" t="s">
        <v>20</v>
      </c>
      <c r="C281" s="13" t="s">
        <v>19</v>
      </c>
      <c r="D281" s="13" t="s">
        <v>27</v>
      </c>
      <c r="E281" s="13">
        <v>4</v>
      </c>
      <c r="F281" s="14">
        <v>17715</v>
      </c>
      <c r="G281" s="14">
        <v>70860</v>
      </c>
      <c r="H281" s="13" t="s">
        <v>31</v>
      </c>
      <c r="I281" s="13" t="s">
        <v>32</v>
      </c>
    </row>
    <row r="282" spans="1:9" x14ac:dyDescent="0.3">
      <c r="A282" s="12">
        <v>45721</v>
      </c>
      <c r="B282" s="13" t="s">
        <v>23</v>
      </c>
      <c r="C282" s="13" t="s">
        <v>15</v>
      </c>
      <c r="D282" s="13" t="s">
        <v>16</v>
      </c>
      <c r="E282" s="13">
        <v>3</v>
      </c>
      <c r="F282" s="14">
        <v>21240</v>
      </c>
      <c r="G282" s="14">
        <v>63720</v>
      </c>
      <c r="H282" s="13" t="s">
        <v>31</v>
      </c>
      <c r="I282" s="13" t="s">
        <v>32</v>
      </c>
    </row>
    <row r="283" spans="1:9" x14ac:dyDescent="0.3">
      <c r="A283" s="12">
        <v>45722</v>
      </c>
      <c r="B283" s="13" t="s">
        <v>9</v>
      </c>
      <c r="C283" s="13" t="s">
        <v>22</v>
      </c>
      <c r="D283" s="13" t="s">
        <v>28</v>
      </c>
      <c r="E283" s="13">
        <v>6</v>
      </c>
      <c r="F283" s="14">
        <v>8301</v>
      </c>
      <c r="G283" s="14">
        <v>49806</v>
      </c>
      <c r="H283" s="13" t="s">
        <v>31</v>
      </c>
      <c r="I283" s="13" t="s">
        <v>32</v>
      </c>
    </row>
    <row r="284" spans="1:9" x14ac:dyDescent="0.3">
      <c r="A284" s="12">
        <v>45722</v>
      </c>
      <c r="B284" s="13" t="s">
        <v>17</v>
      </c>
      <c r="C284" s="13" t="s">
        <v>22</v>
      </c>
      <c r="D284" s="13" t="s">
        <v>18</v>
      </c>
      <c r="E284" s="13">
        <v>3</v>
      </c>
      <c r="F284" s="14">
        <v>7729</v>
      </c>
      <c r="G284" s="14">
        <v>23187</v>
      </c>
      <c r="H284" s="13" t="s">
        <v>31</v>
      </c>
      <c r="I284" s="13" t="s">
        <v>32</v>
      </c>
    </row>
    <row r="285" spans="1:9" x14ac:dyDescent="0.3">
      <c r="A285" s="12">
        <v>45722</v>
      </c>
      <c r="B285" s="13" t="s">
        <v>17</v>
      </c>
      <c r="C285" s="13" t="s">
        <v>10</v>
      </c>
      <c r="D285" s="13" t="s">
        <v>24</v>
      </c>
      <c r="E285" s="13">
        <v>1</v>
      </c>
      <c r="F285" s="14">
        <v>11893</v>
      </c>
      <c r="G285" s="14">
        <v>11893</v>
      </c>
      <c r="H285" s="13" t="s">
        <v>31</v>
      </c>
      <c r="I285" s="13" t="s">
        <v>32</v>
      </c>
    </row>
    <row r="286" spans="1:9" x14ac:dyDescent="0.3">
      <c r="A286" s="12">
        <v>45722</v>
      </c>
      <c r="B286" s="13" t="s">
        <v>17</v>
      </c>
      <c r="C286" s="13" t="s">
        <v>21</v>
      </c>
      <c r="D286" s="13" t="s">
        <v>11</v>
      </c>
      <c r="E286" s="13">
        <v>8</v>
      </c>
      <c r="F286" s="14">
        <v>3406</v>
      </c>
      <c r="G286" s="14">
        <v>27248</v>
      </c>
      <c r="H286" s="13" t="s">
        <v>31</v>
      </c>
      <c r="I286" s="13" t="s">
        <v>32</v>
      </c>
    </row>
    <row r="287" spans="1:9" x14ac:dyDescent="0.3">
      <c r="A287" s="12">
        <v>45723</v>
      </c>
      <c r="B287" s="13" t="s">
        <v>20</v>
      </c>
      <c r="C287" s="13" t="s">
        <v>21</v>
      </c>
      <c r="D287" s="13" t="s">
        <v>16</v>
      </c>
      <c r="E287" s="13">
        <v>6</v>
      </c>
      <c r="F287" s="14">
        <v>3562</v>
      </c>
      <c r="G287" s="14">
        <v>21372</v>
      </c>
      <c r="H287" s="13" t="s">
        <v>31</v>
      </c>
      <c r="I287" s="13" t="s">
        <v>32</v>
      </c>
    </row>
    <row r="288" spans="1:9" x14ac:dyDescent="0.3">
      <c r="A288" s="12">
        <v>45723</v>
      </c>
      <c r="B288" s="13" t="s">
        <v>23</v>
      </c>
      <c r="C288" s="13" t="s">
        <v>21</v>
      </c>
      <c r="D288" s="13" t="s">
        <v>11</v>
      </c>
      <c r="E288" s="13">
        <v>7</v>
      </c>
      <c r="F288" s="14">
        <v>3501</v>
      </c>
      <c r="G288" s="14">
        <v>24507</v>
      </c>
      <c r="H288" s="13" t="s">
        <v>31</v>
      </c>
      <c r="I288" s="13" t="s">
        <v>32</v>
      </c>
    </row>
    <row r="289" spans="1:9" x14ac:dyDescent="0.3">
      <c r="A289" s="12">
        <v>45723</v>
      </c>
      <c r="B289" s="13" t="s">
        <v>23</v>
      </c>
      <c r="C289" s="13" t="s">
        <v>15</v>
      </c>
      <c r="D289" s="13" t="s">
        <v>16</v>
      </c>
      <c r="E289" s="13">
        <v>10</v>
      </c>
      <c r="F289" s="14">
        <v>21204</v>
      </c>
      <c r="G289" s="14">
        <v>212040</v>
      </c>
      <c r="H289" s="13" t="s">
        <v>31</v>
      </c>
      <c r="I289" s="13" t="s">
        <v>32</v>
      </c>
    </row>
    <row r="290" spans="1:9" x14ac:dyDescent="0.3">
      <c r="A290" s="12">
        <v>45724</v>
      </c>
      <c r="B290" s="13" t="s">
        <v>9</v>
      </c>
      <c r="C290" s="13" t="s">
        <v>10</v>
      </c>
      <c r="D290" s="13" t="s">
        <v>24</v>
      </c>
      <c r="E290" s="13">
        <v>6</v>
      </c>
      <c r="F290" s="14">
        <v>12065</v>
      </c>
      <c r="G290" s="14">
        <v>72390</v>
      </c>
      <c r="H290" s="13" t="s">
        <v>31</v>
      </c>
      <c r="I290" s="13" t="s">
        <v>32</v>
      </c>
    </row>
    <row r="291" spans="1:9" x14ac:dyDescent="0.3">
      <c r="A291" s="12">
        <v>45724</v>
      </c>
      <c r="B291" s="13" t="s">
        <v>9</v>
      </c>
      <c r="C291" s="13" t="s">
        <v>10</v>
      </c>
      <c r="D291" s="13" t="s">
        <v>14</v>
      </c>
      <c r="E291" s="13">
        <v>5</v>
      </c>
      <c r="F291" s="14">
        <v>11500</v>
      </c>
      <c r="G291" s="14">
        <v>57500</v>
      </c>
      <c r="H291" s="13" t="s">
        <v>31</v>
      </c>
      <c r="I291" s="13" t="s">
        <v>32</v>
      </c>
    </row>
    <row r="292" spans="1:9" x14ac:dyDescent="0.3">
      <c r="A292" s="12">
        <v>45724</v>
      </c>
      <c r="B292" s="13" t="s">
        <v>17</v>
      </c>
      <c r="C292" s="13" t="s">
        <v>19</v>
      </c>
      <c r="D292" s="13" t="s">
        <v>24</v>
      </c>
      <c r="E292" s="13">
        <v>9</v>
      </c>
      <c r="F292" s="14">
        <v>17365</v>
      </c>
      <c r="G292" s="14">
        <v>156285</v>
      </c>
      <c r="H292" s="13" t="s">
        <v>31</v>
      </c>
      <c r="I292" s="13" t="s">
        <v>32</v>
      </c>
    </row>
    <row r="293" spans="1:9" x14ac:dyDescent="0.3">
      <c r="A293" s="12">
        <v>45724</v>
      </c>
      <c r="B293" s="13" t="s">
        <v>23</v>
      </c>
      <c r="C293" s="13" t="s">
        <v>25</v>
      </c>
      <c r="D293" s="13" t="s">
        <v>16</v>
      </c>
      <c r="E293" s="13">
        <v>8</v>
      </c>
      <c r="F293" s="14">
        <v>57115</v>
      </c>
      <c r="G293" s="14">
        <v>456920</v>
      </c>
      <c r="H293" s="13" t="s">
        <v>31</v>
      </c>
      <c r="I293" s="13" t="s">
        <v>32</v>
      </c>
    </row>
    <row r="294" spans="1:9" x14ac:dyDescent="0.3">
      <c r="A294" s="12">
        <v>45725</v>
      </c>
      <c r="B294" s="13" t="s">
        <v>23</v>
      </c>
      <c r="C294" s="13" t="s">
        <v>25</v>
      </c>
      <c r="D294" s="13" t="s">
        <v>18</v>
      </c>
      <c r="E294" s="13">
        <v>9</v>
      </c>
      <c r="F294" s="14">
        <v>54306</v>
      </c>
      <c r="G294" s="14">
        <v>488754</v>
      </c>
      <c r="H294" s="13" t="s">
        <v>31</v>
      </c>
      <c r="I294" s="13" t="s">
        <v>32</v>
      </c>
    </row>
    <row r="295" spans="1:9" x14ac:dyDescent="0.3">
      <c r="A295" s="12">
        <v>45725</v>
      </c>
      <c r="B295" s="13" t="s">
        <v>23</v>
      </c>
      <c r="C295" s="13" t="s">
        <v>25</v>
      </c>
      <c r="D295" s="13" t="s">
        <v>26</v>
      </c>
      <c r="E295" s="13">
        <v>4</v>
      </c>
      <c r="F295" s="14">
        <v>52405</v>
      </c>
      <c r="G295" s="14">
        <v>209620</v>
      </c>
      <c r="H295" s="13" t="s">
        <v>31</v>
      </c>
      <c r="I295" s="13" t="s">
        <v>32</v>
      </c>
    </row>
    <row r="296" spans="1:9" x14ac:dyDescent="0.3">
      <c r="A296" s="12">
        <v>45726</v>
      </c>
      <c r="B296" s="13" t="s">
        <v>20</v>
      </c>
      <c r="C296" s="13" t="s">
        <v>15</v>
      </c>
      <c r="D296" s="13" t="s">
        <v>27</v>
      </c>
      <c r="E296" s="13">
        <v>1</v>
      </c>
      <c r="F296" s="14">
        <v>21531</v>
      </c>
      <c r="G296" s="14">
        <v>21531</v>
      </c>
      <c r="H296" s="13" t="s">
        <v>31</v>
      </c>
      <c r="I296" s="13" t="s">
        <v>32</v>
      </c>
    </row>
    <row r="297" spans="1:9" x14ac:dyDescent="0.3">
      <c r="A297" s="12">
        <v>45726</v>
      </c>
      <c r="B297" s="13" t="s">
        <v>23</v>
      </c>
      <c r="C297" s="13" t="s">
        <v>10</v>
      </c>
      <c r="D297" s="13" t="s">
        <v>27</v>
      </c>
      <c r="E297" s="13">
        <v>8</v>
      </c>
      <c r="F297" s="14">
        <v>11938</v>
      </c>
      <c r="G297" s="14">
        <v>95504</v>
      </c>
      <c r="H297" s="13" t="s">
        <v>31</v>
      </c>
      <c r="I297" s="13" t="s">
        <v>32</v>
      </c>
    </row>
    <row r="298" spans="1:9" x14ac:dyDescent="0.3">
      <c r="A298" s="12">
        <v>45727</v>
      </c>
      <c r="B298" s="13" t="s">
        <v>9</v>
      </c>
      <c r="C298" s="13" t="s">
        <v>25</v>
      </c>
      <c r="D298" s="13" t="s">
        <v>11</v>
      </c>
      <c r="E298" s="13">
        <v>4</v>
      </c>
      <c r="F298" s="14">
        <v>56842</v>
      </c>
      <c r="G298" s="14">
        <v>227368</v>
      </c>
      <c r="H298" s="13" t="s">
        <v>31</v>
      </c>
      <c r="I298" s="13" t="s">
        <v>32</v>
      </c>
    </row>
    <row r="299" spans="1:9" x14ac:dyDescent="0.3">
      <c r="A299" s="12">
        <v>45727</v>
      </c>
      <c r="B299" s="13" t="s">
        <v>23</v>
      </c>
      <c r="C299" s="13" t="s">
        <v>25</v>
      </c>
      <c r="D299" s="13" t="s">
        <v>11</v>
      </c>
      <c r="E299" s="13">
        <v>4</v>
      </c>
      <c r="F299" s="14">
        <v>53906</v>
      </c>
      <c r="G299" s="14">
        <v>215624</v>
      </c>
      <c r="H299" s="13" t="s">
        <v>31</v>
      </c>
      <c r="I299" s="13" t="s">
        <v>32</v>
      </c>
    </row>
    <row r="300" spans="1:9" x14ac:dyDescent="0.3">
      <c r="A300" s="12">
        <v>45728</v>
      </c>
      <c r="B300" s="13" t="s">
        <v>17</v>
      </c>
      <c r="C300" s="13" t="s">
        <v>21</v>
      </c>
      <c r="D300" s="13" t="s">
        <v>24</v>
      </c>
      <c r="E300" s="13">
        <v>2</v>
      </c>
      <c r="F300" s="14">
        <v>3363</v>
      </c>
      <c r="G300" s="14">
        <v>6726</v>
      </c>
      <c r="H300" s="13" t="s">
        <v>31</v>
      </c>
      <c r="I300" s="13" t="s">
        <v>32</v>
      </c>
    </row>
    <row r="301" spans="1:9" x14ac:dyDescent="0.3">
      <c r="A301" s="12">
        <v>45728</v>
      </c>
      <c r="B301" s="13" t="s">
        <v>23</v>
      </c>
      <c r="C301" s="13" t="s">
        <v>22</v>
      </c>
      <c r="D301" s="13" t="s">
        <v>28</v>
      </c>
      <c r="E301" s="13">
        <v>9</v>
      </c>
      <c r="F301" s="14">
        <v>8060</v>
      </c>
      <c r="G301" s="14">
        <v>72540</v>
      </c>
      <c r="H301" s="13" t="s">
        <v>31</v>
      </c>
      <c r="I301" s="13" t="s">
        <v>32</v>
      </c>
    </row>
    <row r="302" spans="1:9" x14ac:dyDescent="0.3">
      <c r="A302" s="12">
        <v>45729</v>
      </c>
      <c r="B302" s="13" t="s">
        <v>20</v>
      </c>
      <c r="C302" s="13" t="s">
        <v>21</v>
      </c>
      <c r="D302" s="13" t="s">
        <v>28</v>
      </c>
      <c r="E302" s="13">
        <v>10</v>
      </c>
      <c r="F302" s="14">
        <v>3448</v>
      </c>
      <c r="G302" s="14">
        <v>34480</v>
      </c>
      <c r="H302" s="13" t="s">
        <v>31</v>
      </c>
      <c r="I302" s="13" t="s">
        <v>32</v>
      </c>
    </row>
    <row r="303" spans="1:9" x14ac:dyDescent="0.3">
      <c r="A303" s="12">
        <v>45729</v>
      </c>
      <c r="B303" s="13" t="s">
        <v>23</v>
      </c>
      <c r="C303" s="13" t="s">
        <v>15</v>
      </c>
      <c r="D303" s="13" t="s">
        <v>14</v>
      </c>
      <c r="E303" s="13">
        <v>9</v>
      </c>
      <c r="F303" s="14">
        <v>23044</v>
      </c>
      <c r="G303" s="14">
        <v>207396</v>
      </c>
      <c r="H303" s="13" t="s">
        <v>31</v>
      </c>
      <c r="I303" s="13" t="s">
        <v>32</v>
      </c>
    </row>
    <row r="304" spans="1:9" x14ac:dyDescent="0.3">
      <c r="A304" s="12">
        <v>45729</v>
      </c>
      <c r="B304" s="13" t="s">
        <v>9</v>
      </c>
      <c r="C304" s="13" t="s">
        <v>22</v>
      </c>
      <c r="D304" s="13" t="s">
        <v>28</v>
      </c>
      <c r="E304" s="13">
        <v>7</v>
      </c>
      <c r="F304" s="14">
        <v>8298</v>
      </c>
      <c r="G304" s="14">
        <v>58086</v>
      </c>
      <c r="H304" s="13" t="s">
        <v>31</v>
      </c>
      <c r="I304" s="13" t="s">
        <v>32</v>
      </c>
    </row>
    <row r="305" spans="1:9" x14ac:dyDescent="0.3">
      <c r="A305" s="12">
        <v>45730</v>
      </c>
      <c r="B305" s="13" t="s">
        <v>23</v>
      </c>
      <c r="C305" s="13" t="s">
        <v>19</v>
      </c>
      <c r="D305" s="13" t="s">
        <v>11</v>
      </c>
      <c r="E305" s="13">
        <v>1</v>
      </c>
      <c r="F305" s="14">
        <v>17742</v>
      </c>
      <c r="G305" s="14">
        <v>17742</v>
      </c>
      <c r="H305" s="13" t="s">
        <v>31</v>
      </c>
      <c r="I305" s="13" t="s">
        <v>32</v>
      </c>
    </row>
    <row r="306" spans="1:9" x14ac:dyDescent="0.3">
      <c r="A306" s="12">
        <v>45730</v>
      </c>
      <c r="B306" s="13" t="s">
        <v>9</v>
      </c>
      <c r="C306" s="13" t="s">
        <v>19</v>
      </c>
      <c r="D306" s="13" t="s">
        <v>16</v>
      </c>
      <c r="E306" s="13">
        <v>2</v>
      </c>
      <c r="F306" s="14">
        <v>18488</v>
      </c>
      <c r="G306" s="14">
        <v>36976</v>
      </c>
      <c r="H306" s="13" t="s">
        <v>31</v>
      </c>
      <c r="I306" s="13" t="s">
        <v>32</v>
      </c>
    </row>
    <row r="307" spans="1:9" x14ac:dyDescent="0.3">
      <c r="A307" s="12">
        <v>45731</v>
      </c>
      <c r="B307" s="13" t="s">
        <v>17</v>
      </c>
      <c r="C307" s="13" t="s">
        <v>25</v>
      </c>
      <c r="D307" s="13" t="s">
        <v>26</v>
      </c>
      <c r="E307" s="13">
        <v>9</v>
      </c>
      <c r="F307" s="14">
        <v>54112</v>
      </c>
      <c r="G307" s="14">
        <v>487008</v>
      </c>
      <c r="H307" s="13" t="s">
        <v>31</v>
      </c>
      <c r="I307" s="13" t="s">
        <v>32</v>
      </c>
    </row>
    <row r="308" spans="1:9" x14ac:dyDescent="0.3">
      <c r="A308" s="12">
        <v>45731</v>
      </c>
      <c r="B308" s="13" t="s">
        <v>17</v>
      </c>
      <c r="C308" s="13" t="s">
        <v>10</v>
      </c>
      <c r="D308" s="13" t="s">
        <v>24</v>
      </c>
      <c r="E308" s="13">
        <v>8</v>
      </c>
      <c r="F308" s="14">
        <v>12158</v>
      </c>
      <c r="G308" s="14">
        <v>97264</v>
      </c>
      <c r="H308" s="13" t="s">
        <v>31</v>
      </c>
      <c r="I308" s="13" t="s">
        <v>32</v>
      </c>
    </row>
    <row r="309" spans="1:9" x14ac:dyDescent="0.3">
      <c r="A309" s="12">
        <v>45731</v>
      </c>
      <c r="B309" s="13" t="s">
        <v>17</v>
      </c>
      <c r="C309" s="13" t="s">
        <v>25</v>
      </c>
      <c r="D309" s="13" t="s">
        <v>24</v>
      </c>
      <c r="E309" s="13">
        <v>1</v>
      </c>
      <c r="F309" s="14">
        <v>53863</v>
      </c>
      <c r="G309" s="14">
        <v>53863</v>
      </c>
      <c r="H309" s="13" t="s">
        <v>31</v>
      </c>
      <c r="I309" s="13" t="s">
        <v>32</v>
      </c>
    </row>
    <row r="310" spans="1:9" x14ac:dyDescent="0.3">
      <c r="A310" s="12">
        <v>45731</v>
      </c>
      <c r="B310" s="13" t="s">
        <v>9</v>
      </c>
      <c r="C310" s="13" t="s">
        <v>15</v>
      </c>
      <c r="D310" s="13" t="s">
        <v>28</v>
      </c>
      <c r="E310" s="13">
        <v>6</v>
      </c>
      <c r="F310" s="14">
        <v>22953</v>
      </c>
      <c r="G310" s="14">
        <v>137718</v>
      </c>
      <c r="H310" s="13" t="s">
        <v>31</v>
      </c>
      <c r="I310" s="13" t="s">
        <v>32</v>
      </c>
    </row>
    <row r="311" spans="1:9" x14ac:dyDescent="0.3">
      <c r="A311" s="12">
        <v>45732</v>
      </c>
      <c r="B311" s="13" t="s">
        <v>23</v>
      </c>
      <c r="C311" s="13" t="s">
        <v>22</v>
      </c>
      <c r="D311" s="13" t="s">
        <v>24</v>
      </c>
      <c r="E311" s="13">
        <v>5</v>
      </c>
      <c r="F311" s="14">
        <v>7629</v>
      </c>
      <c r="G311" s="14">
        <v>38145</v>
      </c>
      <c r="H311" s="13" t="s">
        <v>31</v>
      </c>
      <c r="I311" s="13" t="s">
        <v>32</v>
      </c>
    </row>
    <row r="312" spans="1:9" x14ac:dyDescent="0.3">
      <c r="A312" s="12">
        <v>45732</v>
      </c>
      <c r="B312" s="13" t="s">
        <v>17</v>
      </c>
      <c r="C312" s="13" t="s">
        <v>19</v>
      </c>
      <c r="D312" s="13" t="s">
        <v>26</v>
      </c>
      <c r="E312" s="13">
        <v>1</v>
      </c>
      <c r="F312" s="14">
        <v>18658</v>
      </c>
      <c r="G312" s="14">
        <v>18658</v>
      </c>
      <c r="H312" s="13" t="s">
        <v>31</v>
      </c>
      <c r="I312" s="13" t="s">
        <v>32</v>
      </c>
    </row>
    <row r="313" spans="1:9" x14ac:dyDescent="0.3">
      <c r="A313" s="12">
        <v>45732</v>
      </c>
      <c r="B313" s="13" t="s">
        <v>20</v>
      </c>
      <c r="C313" s="13" t="s">
        <v>19</v>
      </c>
      <c r="D313" s="13" t="s">
        <v>14</v>
      </c>
      <c r="E313" s="13">
        <v>6</v>
      </c>
      <c r="F313" s="14">
        <v>17886</v>
      </c>
      <c r="G313" s="14">
        <v>107316</v>
      </c>
      <c r="H313" s="13" t="s">
        <v>31</v>
      </c>
      <c r="I313" s="13" t="s">
        <v>32</v>
      </c>
    </row>
    <row r="314" spans="1:9" x14ac:dyDescent="0.3">
      <c r="A314" s="12">
        <v>45732</v>
      </c>
      <c r="B314" s="13" t="s">
        <v>23</v>
      </c>
      <c r="C314" s="13" t="s">
        <v>10</v>
      </c>
      <c r="D314" s="13" t="s">
        <v>24</v>
      </c>
      <c r="E314" s="13">
        <v>7</v>
      </c>
      <c r="F314" s="14">
        <v>11806</v>
      </c>
      <c r="G314" s="14">
        <v>82642</v>
      </c>
      <c r="H314" s="13" t="s">
        <v>31</v>
      </c>
      <c r="I314" s="13" t="s">
        <v>32</v>
      </c>
    </row>
    <row r="315" spans="1:9" x14ac:dyDescent="0.3">
      <c r="A315" s="12">
        <v>45732</v>
      </c>
      <c r="B315" s="13" t="s">
        <v>17</v>
      </c>
      <c r="C315" s="13" t="s">
        <v>21</v>
      </c>
      <c r="D315" s="13" t="s">
        <v>24</v>
      </c>
      <c r="E315" s="13">
        <v>6</v>
      </c>
      <c r="F315" s="14">
        <v>3648</v>
      </c>
      <c r="G315" s="14">
        <v>21888</v>
      </c>
      <c r="H315" s="13" t="s">
        <v>31</v>
      </c>
      <c r="I315" s="13" t="s">
        <v>32</v>
      </c>
    </row>
    <row r="316" spans="1:9" x14ac:dyDescent="0.3">
      <c r="A316" s="12">
        <v>45732</v>
      </c>
      <c r="B316" s="13" t="s">
        <v>20</v>
      </c>
      <c r="C316" s="13" t="s">
        <v>25</v>
      </c>
      <c r="D316" s="13" t="s">
        <v>18</v>
      </c>
      <c r="E316" s="13">
        <v>2</v>
      </c>
      <c r="F316" s="14">
        <v>54618</v>
      </c>
      <c r="G316" s="14">
        <v>109236</v>
      </c>
      <c r="H316" s="13" t="s">
        <v>31</v>
      </c>
      <c r="I316" s="13" t="s">
        <v>32</v>
      </c>
    </row>
    <row r="317" spans="1:9" x14ac:dyDescent="0.3">
      <c r="A317" s="12">
        <v>45733</v>
      </c>
      <c r="B317" s="13" t="s">
        <v>20</v>
      </c>
      <c r="C317" s="13" t="s">
        <v>19</v>
      </c>
      <c r="D317" s="13" t="s">
        <v>14</v>
      </c>
      <c r="E317" s="13">
        <v>2</v>
      </c>
      <c r="F317" s="14">
        <v>17690</v>
      </c>
      <c r="G317" s="14">
        <v>35380</v>
      </c>
      <c r="H317" s="13" t="s">
        <v>31</v>
      </c>
      <c r="I317" s="13" t="s">
        <v>32</v>
      </c>
    </row>
    <row r="318" spans="1:9" x14ac:dyDescent="0.3">
      <c r="A318" s="12">
        <v>45733</v>
      </c>
      <c r="B318" s="13" t="s">
        <v>20</v>
      </c>
      <c r="C318" s="13" t="s">
        <v>19</v>
      </c>
      <c r="D318" s="13" t="s">
        <v>24</v>
      </c>
      <c r="E318" s="13">
        <v>10</v>
      </c>
      <c r="F318" s="14">
        <v>18391</v>
      </c>
      <c r="G318" s="14">
        <v>183910</v>
      </c>
      <c r="H318" s="13" t="s">
        <v>31</v>
      </c>
      <c r="I318" s="13" t="s">
        <v>32</v>
      </c>
    </row>
    <row r="319" spans="1:9" x14ac:dyDescent="0.3">
      <c r="A319" s="12">
        <v>45733</v>
      </c>
      <c r="B319" s="13" t="s">
        <v>17</v>
      </c>
      <c r="C319" s="13" t="s">
        <v>10</v>
      </c>
      <c r="D319" s="13" t="s">
        <v>24</v>
      </c>
      <c r="E319" s="13">
        <v>6</v>
      </c>
      <c r="F319" s="14">
        <v>11936</v>
      </c>
      <c r="G319" s="14">
        <v>71616</v>
      </c>
      <c r="H319" s="13" t="s">
        <v>31</v>
      </c>
      <c r="I319" s="13" t="s">
        <v>32</v>
      </c>
    </row>
    <row r="320" spans="1:9" x14ac:dyDescent="0.3">
      <c r="A320" s="12">
        <v>45734</v>
      </c>
      <c r="B320" s="13" t="s">
        <v>23</v>
      </c>
      <c r="C320" s="13" t="s">
        <v>19</v>
      </c>
      <c r="D320" s="13" t="s">
        <v>28</v>
      </c>
      <c r="E320" s="13">
        <v>2</v>
      </c>
      <c r="F320" s="14">
        <v>18308</v>
      </c>
      <c r="G320" s="14">
        <v>36616</v>
      </c>
      <c r="H320" s="13" t="s">
        <v>31</v>
      </c>
      <c r="I320" s="13" t="s">
        <v>32</v>
      </c>
    </row>
    <row r="321" spans="1:9" x14ac:dyDescent="0.3">
      <c r="A321" s="12">
        <v>45734</v>
      </c>
      <c r="B321" s="13" t="s">
        <v>23</v>
      </c>
      <c r="C321" s="13" t="s">
        <v>19</v>
      </c>
      <c r="D321" s="13" t="s">
        <v>27</v>
      </c>
      <c r="E321" s="13">
        <v>1</v>
      </c>
      <c r="F321" s="14">
        <v>17357</v>
      </c>
      <c r="G321" s="14">
        <v>17357</v>
      </c>
      <c r="H321" s="13" t="s">
        <v>31</v>
      </c>
      <c r="I321" s="13" t="s">
        <v>32</v>
      </c>
    </row>
    <row r="322" spans="1:9" x14ac:dyDescent="0.3">
      <c r="A322" s="12">
        <v>45734</v>
      </c>
      <c r="B322" s="13" t="s">
        <v>23</v>
      </c>
      <c r="C322" s="13" t="s">
        <v>25</v>
      </c>
      <c r="D322" s="13" t="s">
        <v>27</v>
      </c>
      <c r="E322" s="13">
        <v>2</v>
      </c>
      <c r="F322" s="14">
        <v>53547</v>
      </c>
      <c r="G322" s="14">
        <v>107094</v>
      </c>
      <c r="H322" s="13" t="s">
        <v>31</v>
      </c>
      <c r="I322" s="13" t="s">
        <v>32</v>
      </c>
    </row>
    <row r="323" spans="1:9" x14ac:dyDescent="0.3">
      <c r="A323" s="12">
        <v>45734</v>
      </c>
      <c r="B323" s="13" t="s">
        <v>20</v>
      </c>
      <c r="C323" s="13" t="s">
        <v>19</v>
      </c>
      <c r="D323" s="13" t="s">
        <v>18</v>
      </c>
      <c r="E323" s="13">
        <v>10</v>
      </c>
      <c r="F323" s="14">
        <v>17158</v>
      </c>
      <c r="G323" s="14">
        <v>171580</v>
      </c>
      <c r="H323" s="13" t="s">
        <v>31</v>
      </c>
      <c r="I323" s="13" t="s">
        <v>32</v>
      </c>
    </row>
    <row r="324" spans="1:9" x14ac:dyDescent="0.3">
      <c r="A324" s="12">
        <v>45735</v>
      </c>
      <c r="B324" s="13" t="s">
        <v>23</v>
      </c>
      <c r="C324" s="13" t="s">
        <v>19</v>
      </c>
      <c r="D324" s="13" t="s">
        <v>26</v>
      </c>
      <c r="E324" s="13">
        <v>8</v>
      </c>
      <c r="F324" s="14">
        <v>18473</v>
      </c>
      <c r="G324" s="14">
        <v>147784</v>
      </c>
      <c r="H324" s="13" t="s">
        <v>31</v>
      </c>
      <c r="I324" s="13" t="s">
        <v>32</v>
      </c>
    </row>
    <row r="325" spans="1:9" x14ac:dyDescent="0.3">
      <c r="A325" s="12">
        <v>45735</v>
      </c>
      <c r="B325" s="13" t="s">
        <v>17</v>
      </c>
      <c r="C325" s="13" t="s">
        <v>22</v>
      </c>
      <c r="D325" s="13" t="s">
        <v>26</v>
      </c>
      <c r="E325" s="13">
        <v>7</v>
      </c>
      <c r="F325" s="14">
        <v>7851</v>
      </c>
      <c r="G325" s="14">
        <v>54957</v>
      </c>
      <c r="H325" s="13" t="s">
        <v>31</v>
      </c>
      <c r="I325" s="13" t="s">
        <v>32</v>
      </c>
    </row>
    <row r="326" spans="1:9" x14ac:dyDescent="0.3">
      <c r="A326" s="12">
        <v>45735</v>
      </c>
      <c r="B326" s="13" t="s">
        <v>20</v>
      </c>
      <c r="C326" s="13" t="s">
        <v>15</v>
      </c>
      <c r="D326" s="13" t="s">
        <v>14</v>
      </c>
      <c r="E326" s="13">
        <v>1</v>
      </c>
      <c r="F326" s="14">
        <v>22518</v>
      </c>
      <c r="G326" s="14">
        <v>22518</v>
      </c>
      <c r="H326" s="13" t="s">
        <v>31</v>
      </c>
      <c r="I326" s="13" t="s">
        <v>32</v>
      </c>
    </row>
    <row r="327" spans="1:9" x14ac:dyDescent="0.3">
      <c r="A327" s="12">
        <v>45736</v>
      </c>
      <c r="B327" s="13" t="s">
        <v>23</v>
      </c>
      <c r="C327" s="13" t="s">
        <v>22</v>
      </c>
      <c r="D327" s="13" t="s">
        <v>14</v>
      </c>
      <c r="E327" s="13">
        <v>5</v>
      </c>
      <c r="F327" s="14">
        <v>8219</v>
      </c>
      <c r="G327" s="14">
        <v>41095</v>
      </c>
      <c r="H327" s="13" t="s">
        <v>31</v>
      </c>
      <c r="I327" s="13" t="s">
        <v>32</v>
      </c>
    </row>
    <row r="328" spans="1:9" x14ac:dyDescent="0.3">
      <c r="A328" s="12">
        <v>45736</v>
      </c>
      <c r="B328" s="13" t="s">
        <v>23</v>
      </c>
      <c r="C328" s="13" t="s">
        <v>15</v>
      </c>
      <c r="D328" s="13" t="s">
        <v>11</v>
      </c>
      <c r="E328" s="13">
        <v>8</v>
      </c>
      <c r="F328" s="14">
        <v>21340</v>
      </c>
      <c r="G328" s="14">
        <v>170720</v>
      </c>
      <c r="H328" s="13" t="s">
        <v>31</v>
      </c>
      <c r="I328" s="13" t="s">
        <v>32</v>
      </c>
    </row>
    <row r="329" spans="1:9" x14ac:dyDescent="0.3">
      <c r="A329" s="12">
        <v>45736</v>
      </c>
      <c r="B329" s="13" t="s">
        <v>17</v>
      </c>
      <c r="C329" s="13" t="s">
        <v>25</v>
      </c>
      <c r="D329" s="13" t="s">
        <v>24</v>
      </c>
      <c r="E329" s="13">
        <v>3</v>
      </c>
      <c r="F329" s="14">
        <v>57192</v>
      </c>
      <c r="G329" s="14">
        <v>171576</v>
      </c>
      <c r="H329" s="13" t="s">
        <v>31</v>
      </c>
      <c r="I329" s="13" t="s">
        <v>32</v>
      </c>
    </row>
    <row r="330" spans="1:9" x14ac:dyDescent="0.3">
      <c r="A330" s="12">
        <v>45736</v>
      </c>
      <c r="B330" s="13" t="s">
        <v>23</v>
      </c>
      <c r="C330" s="13" t="s">
        <v>25</v>
      </c>
      <c r="D330" s="13" t="s">
        <v>26</v>
      </c>
      <c r="E330" s="13">
        <v>6</v>
      </c>
      <c r="F330" s="14">
        <v>56152</v>
      </c>
      <c r="G330" s="14">
        <v>336912</v>
      </c>
      <c r="H330" s="13" t="s">
        <v>31</v>
      </c>
      <c r="I330" s="13" t="s">
        <v>32</v>
      </c>
    </row>
    <row r="331" spans="1:9" x14ac:dyDescent="0.3">
      <c r="A331" s="12">
        <v>45736</v>
      </c>
      <c r="B331" s="13" t="s">
        <v>20</v>
      </c>
      <c r="C331" s="13" t="s">
        <v>19</v>
      </c>
      <c r="D331" s="13" t="s">
        <v>27</v>
      </c>
      <c r="E331" s="13">
        <v>3</v>
      </c>
      <c r="F331" s="14">
        <v>18528</v>
      </c>
      <c r="G331" s="14">
        <v>55584</v>
      </c>
      <c r="H331" s="13" t="s">
        <v>31</v>
      </c>
      <c r="I331" s="13" t="s">
        <v>32</v>
      </c>
    </row>
    <row r="332" spans="1:9" x14ac:dyDescent="0.3">
      <c r="A332" s="12">
        <v>45737</v>
      </c>
      <c r="B332" s="13" t="s">
        <v>17</v>
      </c>
      <c r="C332" s="13" t="s">
        <v>25</v>
      </c>
      <c r="D332" s="13" t="s">
        <v>16</v>
      </c>
      <c r="E332" s="13">
        <v>3</v>
      </c>
      <c r="F332" s="14">
        <v>53552</v>
      </c>
      <c r="G332" s="14">
        <v>160656</v>
      </c>
      <c r="H332" s="13" t="s">
        <v>31</v>
      </c>
      <c r="I332" s="13" t="s">
        <v>32</v>
      </c>
    </row>
    <row r="333" spans="1:9" x14ac:dyDescent="0.3">
      <c r="A333" s="12">
        <v>45737</v>
      </c>
      <c r="B333" s="13" t="s">
        <v>23</v>
      </c>
      <c r="C333" s="13" t="s">
        <v>25</v>
      </c>
      <c r="D333" s="13" t="s">
        <v>26</v>
      </c>
      <c r="E333" s="13">
        <v>9</v>
      </c>
      <c r="F333" s="14">
        <v>55397</v>
      </c>
      <c r="G333" s="14">
        <v>498573</v>
      </c>
      <c r="H333" s="13" t="s">
        <v>31</v>
      </c>
      <c r="I333" s="13" t="s">
        <v>32</v>
      </c>
    </row>
    <row r="334" spans="1:9" x14ac:dyDescent="0.3">
      <c r="A334" s="12">
        <v>45737</v>
      </c>
      <c r="B334" s="13" t="s">
        <v>23</v>
      </c>
      <c r="C334" s="13" t="s">
        <v>22</v>
      </c>
      <c r="D334" s="13" t="s">
        <v>27</v>
      </c>
      <c r="E334" s="13">
        <v>10</v>
      </c>
      <c r="F334" s="14">
        <v>8307</v>
      </c>
      <c r="G334" s="14">
        <v>83070</v>
      </c>
      <c r="H334" s="13" t="s">
        <v>31</v>
      </c>
      <c r="I334" s="13" t="s">
        <v>32</v>
      </c>
    </row>
    <row r="335" spans="1:9" x14ac:dyDescent="0.3">
      <c r="A335" s="12">
        <v>45737</v>
      </c>
      <c r="B335" s="13" t="s">
        <v>9</v>
      </c>
      <c r="C335" s="13" t="s">
        <v>19</v>
      </c>
      <c r="D335" s="13" t="s">
        <v>18</v>
      </c>
      <c r="E335" s="13">
        <v>8</v>
      </c>
      <c r="F335" s="14">
        <v>18046</v>
      </c>
      <c r="G335" s="14">
        <v>144368</v>
      </c>
      <c r="H335" s="13" t="s">
        <v>31</v>
      </c>
      <c r="I335" s="13" t="s">
        <v>32</v>
      </c>
    </row>
    <row r="336" spans="1:9" x14ac:dyDescent="0.3">
      <c r="A336" s="12">
        <v>45737</v>
      </c>
      <c r="B336" s="13" t="s">
        <v>23</v>
      </c>
      <c r="C336" s="13" t="s">
        <v>22</v>
      </c>
      <c r="D336" s="13" t="s">
        <v>14</v>
      </c>
      <c r="E336" s="13">
        <v>3</v>
      </c>
      <c r="F336" s="14">
        <v>8377</v>
      </c>
      <c r="G336" s="14">
        <v>25131</v>
      </c>
      <c r="H336" s="13" t="s">
        <v>31</v>
      </c>
      <c r="I336" s="13" t="s">
        <v>32</v>
      </c>
    </row>
    <row r="337" spans="1:9" x14ac:dyDescent="0.3">
      <c r="A337" s="12">
        <v>45737</v>
      </c>
      <c r="B337" s="13" t="s">
        <v>9</v>
      </c>
      <c r="C337" s="13" t="s">
        <v>21</v>
      </c>
      <c r="D337" s="13" t="s">
        <v>24</v>
      </c>
      <c r="E337" s="13">
        <v>9</v>
      </c>
      <c r="F337" s="14">
        <v>3445</v>
      </c>
      <c r="G337" s="14">
        <v>31005</v>
      </c>
      <c r="H337" s="13" t="s">
        <v>31</v>
      </c>
      <c r="I337" s="13" t="s">
        <v>32</v>
      </c>
    </row>
    <row r="338" spans="1:9" x14ac:dyDescent="0.3">
      <c r="A338" s="12">
        <v>45738</v>
      </c>
      <c r="B338" s="13" t="s">
        <v>17</v>
      </c>
      <c r="C338" s="13" t="s">
        <v>15</v>
      </c>
      <c r="D338" s="13" t="s">
        <v>18</v>
      </c>
      <c r="E338" s="13">
        <v>9</v>
      </c>
      <c r="F338" s="14">
        <v>22903</v>
      </c>
      <c r="G338" s="14">
        <v>206127</v>
      </c>
      <c r="H338" s="13" t="s">
        <v>31</v>
      </c>
      <c r="I338" s="13" t="s">
        <v>32</v>
      </c>
    </row>
    <row r="339" spans="1:9" x14ac:dyDescent="0.3">
      <c r="A339" s="12">
        <v>45738</v>
      </c>
      <c r="B339" s="13" t="s">
        <v>9</v>
      </c>
      <c r="C339" s="13" t="s">
        <v>25</v>
      </c>
      <c r="D339" s="13" t="s">
        <v>27</v>
      </c>
      <c r="E339" s="13">
        <v>5</v>
      </c>
      <c r="F339" s="14">
        <v>53155</v>
      </c>
      <c r="G339" s="14">
        <v>265775</v>
      </c>
      <c r="H339" s="13" t="s">
        <v>31</v>
      </c>
      <c r="I339" s="13" t="s">
        <v>32</v>
      </c>
    </row>
    <row r="340" spans="1:9" x14ac:dyDescent="0.3">
      <c r="A340" s="12">
        <v>45738</v>
      </c>
      <c r="B340" s="13" t="s">
        <v>20</v>
      </c>
      <c r="C340" s="13" t="s">
        <v>10</v>
      </c>
      <c r="D340" s="13" t="s">
        <v>16</v>
      </c>
      <c r="E340" s="13">
        <v>6</v>
      </c>
      <c r="F340" s="14">
        <v>12536</v>
      </c>
      <c r="G340" s="14">
        <v>75216</v>
      </c>
      <c r="H340" s="13" t="s">
        <v>31</v>
      </c>
      <c r="I340" s="13" t="s">
        <v>32</v>
      </c>
    </row>
    <row r="341" spans="1:9" x14ac:dyDescent="0.3">
      <c r="A341" s="12">
        <v>45738</v>
      </c>
      <c r="B341" s="13" t="s">
        <v>20</v>
      </c>
      <c r="C341" s="13" t="s">
        <v>25</v>
      </c>
      <c r="D341" s="13" t="s">
        <v>11</v>
      </c>
      <c r="E341" s="13">
        <v>4</v>
      </c>
      <c r="F341" s="14">
        <v>55742</v>
      </c>
      <c r="G341" s="14">
        <v>222968</v>
      </c>
      <c r="H341" s="13" t="s">
        <v>31</v>
      </c>
      <c r="I341" s="13" t="s">
        <v>32</v>
      </c>
    </row>
    <row r="342" spans="1:9" x14ac:dyDescent="0.3">
      <c r="A342" s="12">
        <v>45738</v>
      </c>
      <c r="B342" s="13" t="s">
        <v>20</v>
      </c>
      <c r="C342" s="13" t="s">
        <v>15</v>
      </c>
      <c r="D342" s="13" t="s">
        <v>11</v>
      </c>
      <c r="E342" s="13">
        <v>10</v>
      </c>
      <c r="F342" s="14">
        <v>22073</v>
      </c>
      <c r="G342" s="14">
        <v>220730</v>
      </c>
      <c r="H342" s="13" t="s">
        <v>31</v>
      </c>
      <c r="I342" s="13" t="s">
        <v>32</v>
      </c>
    </row>
    <row r="343" spans="1:9" x14ac:dyDescent="0.3">
      <c r="A343" s="12">
        <v>45738</v>
      </c>
      <c r="B343" s="13" t="s">
        <v>17</v>
      </c>
      <c r="C343" s="13" t="s">
        <v>22</v>
      </c>
      <c r="D343" s="13" t="s">
        <v>27</v>
      </c>
      <c r="E343" s="13">
        <v>3</v>
      </c>
      <c r="F343" s="14">
        <v>8126</v>
      </c>
      <c r="G343" s="14">
        <v>24378</v>
      </c>
      <c r="H343" s="13" t="s">
        <v>31</v>
      </c>
      <c r="I343" s="13" t="s">
        <v>32</v>
      </c>
    </row>
    <row r="344" spans="1:9" x14ac:dyDescent="0.3">
      <c r="A344" s="12">
        <v>45739</v>
      </c>
      <c r="B344" s="13" t="s">
        <v>20</v>
      </c>
      <c r="C344" s="13" t="s">
        <v>22</v>
      </c>
      <c r="D344" s="13" t="s">
        <v>28</v>
      </c>
      <c r="E344" s="13">
        <v>1</v>
      </c>
      <c r="F344" s="14">
        <v>7664</v>
      </c>
      <c r="G344" s="14">
        <v>7664</v>
      </c>
      <c r="H344" s="13" t="s">
        <v>31</v>
      </c>
      <c r="I344" s="13" t="s">
        <v>32</v>
      </c>
    </row>
    <row r="345" spans="1:9" x14ac:dyDescent="0.3">
      <c r="A345" s="12">
        <v>45739</v>
      </c>
      <c r="B345" s="13" t="s">
        <v>20</v>
      </c>
      <c r="C345" s="13" t="s">
        <v>10</v>
      </c>
      <c r="D345" s="13" t="s">
        <v>16</v>
      </c>
      <c r="E345" s="13">
        <v>10</v>
      </c>
      <c r="F345" s="14">
        <v>11899</v>
      </c>
      <c r="G345" s="14">
        <v>118990</v>
      </c>
      <c r="H345" s="13" t="s">
        <v>31</v>
      </c>
      <c r="I345" s="13" t="s">
        <v>32</v>
      </c>
    </row>
    <row r="346" spans="1:9" x14ac:dyDescent="0.3">
      <c r="A346" s="12">
        <v>45739</v>
      </c>
      <c r="B346" s="13" t="s">
        <v>9</v>
      </c>
      <c r="C346" s="13" t="s">
        <v>21</v>
      </c>
      <c r="D346" s="13" t="s">
        <v>11</v>
      </c>
      <c r="E346" s="13">
        <v>5</v>
      </c>
      <c r="F346" s="14">
        <v>3494</v>
      </c>
      <c r="G346" s="14">
        <v>17470</v>
      </c>
      <c r="H346" s="13" t="s">
        <v>31</v>
      </c>
      <c r="I346" s="13" t="s">
        <v>32</v>
      </c>
    </row>
    <row r="347" spans="1:9" x14ac:dyDescent="0.3">
      <c r="A347" s="12">
        <v>45739</v>
      </c>
      <c r="B347" s="13" t="s">
        <v>23</v>
      </c>
      <c r="C347" s="13" t="s">
        <v>19</v>
      </c>
      <c r="D347" s="13" t="s">
        <v>24</v>
      </c>
      <c r="E347" s="13">
        <v>2</v>
      </c>
      <c r="F347" s="14">
        <v>18339</v>
      </c>
      <c r="G347" s="14">
        <v>36678</v>
      </c>
      <c r="H347" s="13" t="s">
        <v>31</v>
      </c>
      <c r="I347" s="13" t="s">
        <v>32</v>
      </c>
    </row>
    <row r="348" spans="1:9" x14ac:dyDescent="0.3">
      <c r="A348" s="12">
        <v>45739</v>
      </c>
      <c r="B348" s="13" t="s">
        <v>17</v>
      </c>
      <c r="C348" s="13" t="s">
        <v>21</v>
      </c>
      <c r="D348" s="13" t="s">
        <v>18</v>
      </c>
      <c r="E348" s="13">
        <v>8</v>
      </c>
      <c r="F348" s="14">
        <v>3487</v>
      </c>
      <c r="G348" s="14">
        <v>27896</v>
      </c>
      <c r="H348" s="13" t="s">
        <v>31</v>
      </c>
      <c r="I348" s="13" t="s">
        <v>32</v>
      </c>
    </row>
    <row r="349" spans="1:9" x14ac:dyDescent="0.3">
      <c r="A349" s="12">
        <v>45739</v>
      </c>
      <c r="B349" s="13" t="s">
        <v>20</v>
      </c>
      <c r="C349" s="13" t="s">
        <v>22</v>
      </c>
      <c r="D349" s="13" t="s">
        <v>27</v>
      </c>
      <c r="E349" s="13">
        <v>6</v>
      </c>
      <c r="F349" s="14">
        <v>8289</v>
      </c>
      <c r="G349" s="14">
        <v>49734</v>
      </c>
      <c r="H349" s="13" t="s">
        <v>31</v>
      </c>
      <c r="I349" s="13" t="s">
        <v>32</v>
      </c>
    </row>
    <row r="350" spans="1:9" x14ac:dyDescent="0.3">
      <c r="A350" s="12">
        <v>45740</v>
      </c>
      <c r="B350" s="13" t="s">
        <v>20</v>
      </c>
      <c r="C350" s="13" t="s">
        <v>21</v>
      </c>
      <c r="D350" s="13" t="s">
        <v>27</v>
      </c>
      <c r="E350" s="13">
        <v>6</v>
      </c>
      <c r="F350" s="14">
        <v>3505</v>
      </c>
      <c r="G350" s="14">
        <v>21030</v>
      </c>
      <c r="H350" s="13" t="s">
        <v>31</v>
      </c>
      <c r="I350" s="13" t="s">
        <v>32</v>
      </c>
    </row>
    <row r="351" spans="1:9" x14ac:dyDescent="0.3">
      <c r="A351" s="12">
        <v>45740</v>
      </c>
      <c r="B351" s="13" t="s">
        <v>9</v>
      </c>
      <c r="C351" s="13" t="s">
        <v>19</v>
      </c>
      <c r="D351" s="13" t="s">
        <v>16</v>
      </c>
      <c r="E351" s="13">
        <v>8</v>
      </c>
      <c r="F351" s="14">
        <v>17320</v>
      </c>
      <c r="G351" s="14">
        <v>138560</v>
      </c>
      <c r="H351" s="13" t="s">
        <v>31</v>
      </c>
      <c r="I351" s="13" t="s">
        <v>32</v>
      </c>
    </row>
    <row r="352" spans="1:9" x14ac:dyDescent="0.3">
      <c r="A352" s="12">
        <v>45740</v>
      </c>
      <c r="B352" s="13" t="s">
        <v>23</v>
      </c>
      <c r="C352" s="13" t="s">
        <v>15</v>
      </c>
      <c r="D352" s="13" t="s">
        <v>27</v>
      </c>
      <c r="E352" s="13">
        <v>2</v>
      </c>
      <c r="F352" s="14">
        <v>21011</v>
      </c>
      <c r="G352" s="14">
        <v>42022</v>
      </c>
      <c r="H352" s="13" t="s">
        <v>31</v>
      </c>
      <c r="I352" s="13" t="s">
        <v>32</v>
      </c>
    </row>
    <row r="353" spans="1:9" x14ac:dyDescent="0.3">
      <c r="A353" s="12">
        <v>45740</v>
      </c>
      <c r="B353" s="13" t="s">
        <v>23</v>
      </c>
      <c r="C353" s="13" t="s">
        <v>22</v>
      </c>
      <c r="D353" s="13" t="s">
        <v>18</v>
      </c>
      <c r="E353" s="13">
        <v>4</v>
      </c>
      <c r="F353" s="14">
        <v>8370</v>
      </c>
      <c r="G353" s="14">
        <v>33480</v>
      </c>
      <c r="H353" s="13" t="s">
        <v>31</v>
      </c>
      <c r="I353" s="13" t="s">
        <v>32</v>
      </c>
    </row>
    <row r="354" spans="1:9" x14ac:dyDescent="0.3">
      <c r="A354" s="12">
        <v>45741</v>
      </c>
      <c r="B354" s="13" t="s">
        <v>20</v>
      </c>
      <c r="C354" s="13" t="s">
        <v>22</v>
      </c>
      <c r="D354" s="13" t="s">
        <v>26</v>
      </c>
      <c r="E354" s="13">
        <v>4</v>
      </c>
      <c r="F354" s="14">
        <v>8210</v>
      </c>
      <c r="G354" s="14">
        <v>32840</v>
      </c>
      <c r="H354" s="13" t="s">
        <v>31</v>
      </c>
      <c r="I354" s="13" t="s">
        <v>32</v>
      </c>
    </row>
    <row r="355" spans="1:9" x14ac:dyDescent="0.3">
      <c r="A355" s="12">
        <v>45741</v>
      </c>
      <c r="B355" s="13" t="s">
        <v>23</v>
      </c>
      <c r="C355" s="13" t="s">
        <v>22</v>
      </c>
      <c r="D355" s="13" t="s">
        <v>24</v>
      </c>
      <c r="E355" s="13">
        <v>8</v>
      </c>
      <c r="F355" s="14">
        <v>8303</v>
      </c>
      <c r="G355" s="14">
        <v>66424</v>
      </c>
      <c r="H355" s="13" t="s">
        <v>31</v>
      </c>
      <c r="I355" s="13" t="s">
        <v>32</v>
      </c>
    </row>
    <row r="356" spans="1:9" x14ac:dyDescent="0.3">
      <c r="A356" s="12">
        <v>45741</v>
      </c>
      <c r="B356" s="13" t="s">
        <v>23</v>
      </c>
      <c r="C356" s="13" t="s">
        <v>25</v>
      </c>
      <c r="D356" s="13" t="s">
        <v>14</v>
      </c>
      <c r="E356" s="13">
        <v>7</v>
      </c>
      <c r="F356" s="14">
        <v>55029</v>
      </c>
      <c r="G356" s="14">
        <v>385203</v>
      </c>
      <c r="H356" s="13" t="s">
        <v>31</v>
      </c>
      <c r="I356" s="13" t="s">
        <v>32</v>
      </c>
    </row>
    <row r="357" spans="1:9" x14ac:dyDescent="0.3">
      <c r="A357" s="12">
        <v>45742</v>
      </c>
      <c r="B357" s="13" t="s">
        <v>17</v>
      </c>
      <c r="C357" s="13" t="s">
        <v>22</v>
      </c>
      <c r="D357" s="13" t="s">
        <v>26</v>
      </c>
      <c r="E357" s="13">
        <v>1</v>
      </c>
      <c r="F357" s="14">
        <v>7640</v>
      </c>
      <c r="G357" s="14">
        <v>7640</v>
      </c>
      <c r="H357" s="13" t="s">
        <v>31</v>
      </c>
      <c r="I357" s="13" t="s">
        <v>32</v>
      </c>
    </row>
    <row r="358" spans="1:9" x14ac:dyDescent="0.3">
      <c r="A358" s="12">
        <v>45742</v>
      </c>
      <c r="B358" s="13" t="s">
        <v>23</v>
      </c>
      <c r="C358" s="13" t="s">
        <v>22</v>
      </c>
      <c r="D358" s="13" t="s">
        <v>24</v>
      </c>
      <c r="E358" s="13">
        <v>5</v>
      </c>
      <c r="F358" s="14">
        <v>8029</v>
      </c>
      <c r="G358" s="14">
        <v>40145</v>
      </c>
      <c r="H358" s="13" t="s">
        <v>31</v>
      </c>
      <c r="I358" s="13" t="s">
        <v>32</v>
      </c>
    </row>
    <row r="359" spans="1:9" x14ac:dyDescent="0.3">
      <c r="A359" s="12">
        <v>45742</v>
      </c>
      <c r="B359" s="13" t="s">
        <v>9</v>
      </c>
      <c r="C359" s="13" t="s">
        <v>21</v>
      </c>
      <c r="D359" s="13" t="s">
        <v>27</v>
      </c>
      <c r="E359" s="13">
        <v>5</v>
      </c>
      <c r="F359" s="14">
        <v>3579</v>
      </c>
      <c r="G359" s="14">
        <v>17895</v>
      </c>
      <c r="H359" s="13" t="s">
        <v>31</v>
      </c>
      <c r="I359" s="13" t="s">
        <v>32</v>
      </c>
    </row>
    <row r="360" spans="1:9" x14ac:dyDescent="0.3">
      <c r="A360" s="12">
        <v>45743</v>
      </c>
      <c r="B360" s="13" t="s">
        <v>20</v>
      </c>
      <c r="C360" s="13" t="s">
        <v>25</v>
      </c>
      <c r="D360" s="13" t="s">
        <v>18</v>
      </c>
      <c r="E360" s="13">
        <v>1</v>
      </c>
      <c r="F360" s="14">
        <v>55386</v>
      </c>
      <c r="G360" s="14">
        <v>55386</v>
      </c>
      <c r="H360" s="13" t="s">
        <v>31</v>
      </c>
      <c r="I360" s="13" t="s">
        <v>32</v>
      </c>
    </row>
    <row r="361" spans="1:9" x14ac:dyDescent="0.3">
      <c r="A361" s="12">
        <v>45743</v>
      </c>
      <c r="B361" s="13" t="s">
        <v>17</v>
      </c>
      <c r="C361" s="13" t="s">
        <v>19</v>
      </c>
      <c r="D361" s="13" t="s">
        <v>11</v>
      </c>
      <c r="E361" s="13">
        <v>2</v>
      </c>
      <c r="F361" s="14">
        <v>17795</v>
      </c>
      <c r="G361" s="14">
        <v>35590</v>
      </c>
      <c r="H361" s="13" t="s">
        <v>31</v>
      </c>
      <c r="I361" s="13" t="s">
        <v>32</v>
      </c>
    </row>
    <row r="362" spans="1:9" x14ac:dyDescent="0.3">
      <c r="A362" s="12">
        <v>45743</v>
      </c>
      <c r="B362" s="13" t="s">
        <v>23</v>
      </c>
      <c r="C362" s="13" t="s">
        <v>22</v>
      </c>
      <c r="D362" s="13" t="s">
        <v>11</v>
      </c>
      <c r="E362" s="13">
        <v>10</v>
      </c>
      <c r="F362" s="14">
        <v>8144</v>
      </c>
      <c r="G362" s="14">
        <v>81440</v>
      </c>
      <c r="H362" s="13" t="s">
        <v>31</v>
      </c>
      <c r="I362" s="13" t="s">
        <v>32</v>
      </c>
    </row>
    <row r="363" spans="1:9" x14ac:dyDescent="0.3">
      <c r="A363" s="12">
        <v>45743</v>
      </c>
      <c r="B363" s="13" t="s">
        <v>9</v>
      </c>
      <c r="C363" s="13" t="s">
        <v>15</v>
      </c>
      <c r="D363" s="13" t="s">
        <v>14</v>
      </c>
      <c r="E363" s="13">
        <v>7</v>
      </c>
      <c r="F363" s="14">
        <v>21721</v>
      </c>
      <c r="G363" s="14">
        <v>152047</v>
      </c>
      <c r="H363" s="13" t="s">
        <v>31</v>
      </c>
      <c r="I363" s="13" t="s">
        <v>32</v>
      </c>
    </row>
    <row r="364" spans="1:9" x14ac:dyDescent="0.3">
      <c r="A364" s="12">
        <v>45743</v>
      </c>
      <c r="B364" s="13" t="s">
        <v>20</v>
      </c>
      <c r="C364" s="13" t="s">
        <v>22</v>
      </c>
      <c r="D364" s="13" t="s">
        <v>26</v>
      </c>
      <c r="E364" s="13">
        <v>3</v>
      </c>
      <c r="F364" s="14">
        <v>7759</v>
      </c>
      <c r="G364" s="14">
        <v>23277</v>
      </c>
      <c r="H364" s="13" t="s">
        <v>31</v>
      </c>
      <c r="I364" s="13" t="s">
        <v>32</v>
      </c>
    </row>
    <row r="365" spans="1:9" x14ac:dyDescent="0.3">
      <c r="A365" s="12">
        <v>45744</v>
      </c>
      <c r="B365" s="13" t="s">
        <v>23</v>
      </c>
      <c r="C365" s="13" t="s">
        <v>22</v>
      </c>
      <c r="D365" s="13" t="s">
        <v>28</v>
      </c>
      <c r="E365" s="13">
        <v>1</v>
      </c>
      <c r="F365" s="14">
        <v>7631</v>
      </c>
      <c r="G365" s="14">
        <v>7631</v>
      </c>
      <c r="H365" s="13" t="s">
        <v>31</v>
      </c>
      <c r="I365" s="13" t="s">
        <v>32</v>
      </c>
    </row>
    <row r="366" spans="1:9" x14ac:dyDescent="0.3">
      <c r="A366" s="12">
        <v>45744</v>
      </c>
      <c r="B366" s="13" t="s">
        <v>20</v>
      </c>
      <c r="C366" s="13" t="s">
        <v>21</v>
      </c>
      <c r="D366" s="13" t="s">
        <v>24</v>
      </c>
      <c r="E366" s="13">
        <v>3</v>
      </c>
      <c r="F366" s="14">
        <v>3537</v>
      </c>
      <c r="G366" s="14">
        <v>10611</v>
      </c>
      <c r="H366" s="13" t="s">
        <v>31</v>
      </c>
      <c r="I366" s="13" t="s">
        <v>32</v>
      </c>
    </row>
    <row r="367" spans="1:9" x14ac:dyDescent="0.3">
      <c r="A367" s="12">
        <v>45744</v>
      </c>
      <c r="B367" s="13" t="s">
        <v>17</v>
      </c>
      <c r="C367" s="13" t="s">
        <v>19</v>
      </c>
      <c r="D367" s="13" t="s">
        <v>26</v>
      </c>
      <c r="E367" s="13">
        <v>3</v>
      </c>
      <c r="F367" s="14">
        <v>17807</v>
      </c>
      <c r="G367" s="14">
        <v>53421</v>
      </c>
      <c r="H367" s="13" t="s">
        <v>31</v>
      </c>
      <c r="I367" s="13" t="s">
        <v>32</v>
      </c>
    </row>
    <row r="368" spans="1:9" x14ac:dyDescent="0.3">
      <c r="A368" s="12">
        <v>45744</v>
      </c>
      <c r="B368" s="13" t="s">
        <v>20</v>
      </c>
      <c r="C368" s="13" t="s">
        <v>22</v>
      </c>
      <c r="D368" s="13" t="s">
        <v>26</v>
      </c>
      <c r="E368" s="13">
        <v>9</v>
      </c>
      <c r="F368" s="14">
        <v>8262</v>
      </c>
      <c r="G368" s="14">
        <v>74358</v>
      </c>
      <c r="H368" s="13" t="s">
        <v>31</v>
      </c>
      <c r="I368" s="13" t="s">
        <v>32</v>
      </c>
    </row>
    <row r="369" spans="1:9" x14ac:dyDescent="0.3">
      <c r="A369" s="12">
        <v>45744</v>
      </c>
      <c r="B369" s="13" t="s">
        <v>23</v>
      </c>
      <c r="C369" s="13" t="s">
        <v>10</v>
      </c>
      <c r="D369" s="13" t="s">
        <v>11</v>
      </c>
      <c r="E369" s="13">
        <v>8</v>
      </c>
      <c r="F369" s="14">
        <v>12378</v>
      </c>
      <c r="G369" s="14">
        <v>99024</v>
      </c>
      <c r="H369" s="13" t="s">
        <v>31</v>
      </c>
      <c r="I369" s="13" t="s">
        <v>32</v>
      </c>
    </row>
    <row r="370" spans="1:9" x14ac:dyDescent="0.3">
      <c r="A370" s="12">
        <v>45744</v>
      </c>
      <c r="B370" s="13" t="s">
        <v>20</v>
      </c>
      <c r="C370" s="13" t="s">
        <v>19</v>
      </c>
      <c r="D370" s="13" t="s">
        <v>14</v>
      </c>
      <c r="E370" s="13">
        <v>7</v>
      </c>
      <c r="F370" s="14">
        <v>18150</v>
      </c>
      <c r="G370" s="14">
        <v>127050</v>
      </c>
      <c r="H370" s="13" t="s">
        <v>31</v>
      </c>
      <c r="I370" s="13" t="s">
        <v>32</v>
      </c>
    </row>
    <row r="371" spans="1:9" x14ac:dyDescent="0.3">
      <c r="A371" s="12">
        <v>45745</v>
      </c>
      <c r="B371" s="13" t="s">
        <v>23</v>
      </c>
      <c r="C371" s="13" t="s">
        <v>19</v>
      </c>
      <c r="D371" s="13" t="s">
        <v>16</v>
      </c>
      <c r="E371" s="13">
        <v>1</v>
      </c>
      <c r="F371" s="14">
        <v>18150</v>
      </c>
      <c r="G371" s="14">
        <v>18150</v>
      </c>
      <c r="H371" s="13" t="s">
        <v>31</v>
      </c>
      <c r="I371" s="13" t="s">
        <v>32</v>
      </c>
    </row>
    <row r="372" spans="1:9" x14ac:dyDescent="0.3">
      <c r="A372" s="12">
        <v>45745</v>
      </c>
      <c r="B372" s="13" t="s">
        <v>17</v>
      </c>
      <c r="C372" s="13" t="s">
        <v>22</v>
      </c>
      <c r="D372" s="13" t="s">
        <v>18</v>
      </c>
      <c r="E372" s="13">
        <v>3</v>
      </c>
      <c r="F372" s="14">
        <v>8257</v>
      </c>
      <c r="G372" s="14">
        <v>24771</v>
      </c>
      <c r="H372" s="13" t="s">
        <v>31</v>
      </c>
      <c r="I372" s="13" t="s">
        <v>32</v>
      </c>
    </row>
    <row r="373" spans="1:9" x14ac:dyDescent="0.3">
      <c r="A373" s="12">
        <v>45746</v>
      </c>
      <c r="B373" s="13" t="s">
        <v>9</v>
      </c>
      <c r="C373" s="13" t="s">
        <v>22</v>
      </c>
      <c r="D373" s="13" t="s">
        <v>14</v>
      </c>
      <c r="E373" s="13">
        <v>4</v>
      </c>
      <c r="F373" s="14">
        <v>7615</v>
      </c>
      <c r="G373" s="14">
        <v>30460</v>
      </c>
      <c r="H373" s="13" t="s">
        <v>31</v>
      </c>
      <c r="I373" s="13" t="s">
        <v>32</v>
      </c>
    </row>
    <row r="374" spans="1:9" x14ac:dyDescent="0.3">
      <c r="A374" s="12">
        <v>45746</v>
      </c>
      <c r="B374" s="13" t="s">
        <v>20</v>
      </c>
      <c r="C374" s="13" t="s">
        <v>21</v>
      </c>
      <c r="D374" s="13" t="s">
        <v>27</v>
      </c>
      <c r="E374" s="13">
        <v>7</v>
      </c>
      <c r="F374" s="14">
        <v>3566</v>
      </c>
      <c r="G374" s="14">
        <v>24962</v>
      </c>
      <c r="H374" s="13" t="s">
        <v>31</v>
      </c>
      <c r="I374" s="13" t="s">
        <v>32</v>
      </c>
    </row>
    <row r="375" spans="1:9" x14ac:dyDescent="0.3">
      <c r="A375" s="12">
        <v>45746</v>
      </c>
      <c r="B375" s="13" t="s">
        <v>23</v>
      </c>
      <c r="C375" s="13" t="s">
        <v>22</v>
      </c>
      <c r="D375" s="13" t="s">
        <v>24</v>
      </c>
      <c r="E375" s="13">
        <v>1</v>
      </c>
      <c r="F375" s="14">
        <v>8164</v>
      </c>
      <c r="G375" s="14">
        <v>8164</v>
      </c>
      <c r="H375" s="13" t="s">
        <v>31</v>
      </c>
      <c r="I375" s="13" t="s">
        <v>32</v>
      </c>
    </row>
    <row r="376" spans="1:9" x14ac:dyDescent="0.3">
      <c r="A376" s="12">
        <v>45747</v>
      </c>
      <c r="B376" s="13" t="s">
        <v>17</v>
      </c>
      <c r="C376" s="13" t="s">
        <v>22</v>
      </c>
      <c r="D376" s="13" t="s">
        <v>26</v>
      </c>
      <c r="E376" s="13">
        <v>8</v>
      </c>
      <c r="F376" s="14">
        <v>8020</v>
      </c>
      <c r="G376" s="14">
        <v>64160</v>
      </c>
      <c r="H376" s="13" t="s">
        <v>31</v>
      </c>
      <c r="I376" s="13" t="s">
        <v>32</v>
      </c>
    </row>
    <row r="377" spans="1:9" x14ac:dyDescent="0.3">
      <c r="A377" s="12">
        <v>45747</v>
      </c>
      <c r="B377" s="13" t="s">
        <v>20</v>
      </c>
      <c r="C377" s="13" t="s">
        <v>15</v>
      </c>
      <c r="D377" s="13" t="s">
        <v>24</v>
      </c>
      <c r="E377" s="13">
        <v>9</v>
      </c>
      <c r="F377" s="14">
        <v>21653</v>
      </c>
      <c r="G377" s="14">
        <v>194877</v>
      </c>
      <c r="H377" s="13" t="s">
        <v>31</v>
      </c>
      <c r="I377" s="13" t="s">
        <v>32</v>
      </c>
    </row>
    <row r="378" spans="1:9" x14ac:dyDescent="0.3">
      <c r="A378" s="12">
        <v>45747</v>
      </c>
      <c r="B378" s="13" t="s">
        <v>20</v>
      </c>
      <c r="C378" s="13" t="s">
        <v>10</v>
      </c>
      <c r="D378" s="13" t="s">
        <v>11</v>
      </c>
      <c r="E378" s="13">
        <v>10</v>
      </c>
      <c r="F378" s="14">
        <v>11981</v>
      </c>
      <c r="G378" s="14">
        <v>119810</v>
      </c>
      <c r="H378" s="13" t="s">
        <v>31</v>
      </c>
      <c r="I378" s="13" t="s">
        <v>32</v>
      </c>
    </row>
    <row r="379" spans="1:9" x14ac:dyDescent="0.3">
      <c r="A379" s="12">
        <v>45747</v>
      </c>
      <c r="B379" s="13" t="s">
        <v>17</v>
      </c>
      <c r="C379" s="13" t="s">
        <v>19</v>
      </c>
      <c r="D379" s="13" t="s">
        <v>11</v>
      </c>
      <c r="E379" s="13">
        <v>4</v>
      </c>
      <c r="F379" s="14">
        <v>18794</v>
      </c>
      <c r="G379" s="14">
        <v>75176</v>
      </c>
      <c r="H379" s="13" t="s">
        <v>31</v>
      </c>
      <c r="I379" s="13" t="s">
        <v>32</v>
      </c>
    </row>
    <row r="380" spans="1:9" x14ac:dyDescent="0.3">
      <c r="A380" s="12">
        <v>45747</v>
      </c>
      <c r="B380" s="13" t="s">
        <v>20</v>
      </c>
      <c r="C380" s="13" t="s">
        <v>19</v>
      </c>
      <c r="D380" s="13" t="s">
        <v>16</v>
      </c>
      <c r="E380" s="13">
        <v>8</v>
      </c>
      <c r="F380" s="14">
        <v>17670</v>
      </c>
      <c r="G380" s="14">
        <v>141360</v>
      </c>
      <c r="H380" s="13" t="s">
        <v>31</v>
      </c>
      <c r="I380" s="13" t="s">
        <v>32</v>
      </c>
    </row>
    <row r="381" spans="1:9" x14ac:dyDescent="0.3">
      <c r="A381" s="12">
        <v>45747</v>
      </c>
      <c r="B381" s="13" t="s">
        <v>20</v>
      </c>
      <c r="C381" s="13" t="s">
        <v>22</v>
      </c>
      <c r="D381" s="13" t="s">
        <v>11</v>
      </c>
      <c r="E381" s="13">
        <v>5</v>
      </c>
      <c r="F381" s="14">
        <v>7697</v>
      </c>
      <c r="G381" s="14">
        <v>38485</v>
      </c>
      <c r="H381" s="13" t="s">
        <v>31</v>
      </c>
      <c r="I381" s="13" t="s">
        <v>32</v>
      </c>
    </row>
    <row r="382" spans="1:9" x14ac:dyDescent="0.3">
      <c r="A382" s="12">
        <v>45748</v>
      </c>
      <c r="B382" s="13" t="s">
        <v>23</v>
      </c>
      <c r="C382" s="13" t="s">
        <v>21</v>
      </c>
      <c r="D382" s="13" t="s">
        <v>26</v>
      </c>
      <c r="E382" s="13">
        <v>3</v>
      </c>
      <c r="F382" s="14">
        <v>3426</v>
      </c>
      <c r="G382" s="14">
        <v>10278</v>
      </c>
      <c r="H382" s="13" t="s">
        <v>33</v>
      </c>
      <c r="I382" s="13" t="s">
        <v>34</v>
      </c>
    </row>
    <row r="383" spans="1:9" x14ac:dyDescent="0.3">
      <c r="A383" s="12">
        <v>45748</v>
      </c>
      <c r="B383" s="13" t="s">
        <v>20</v>
      </c>
      <c r="C383" s="13" t="s">
        <v>10</v>
      </c>
      <c r="D383" s="13" t="s">
        <v>14</v>
      </c>
      <c r="E383" s="13">
        <v>6</v>
      </c>
      <c r="F383" s="14">
        <v>12508</v>
      </c>
      <c r="G383" s="14">
        <v>75048</v>
      </c>
      <c r="H383" s="13" t="s">
        <v>33</v>
      </c>
      <c r="I383" s="13" t="s">
        <v>34</v>
      </c>
    </row>
    <row r="384" spans="1:9" x14ac:dyDescent="0.3">
      <c r="A384" s="12">
        <v>45748</v>
      </c>
      <c r="B384" s="13" t="s">
        <v>20</v>
      </c>
      <c r="C384" s="13" t="s">
        <v>10</v>
      </c>
      <c r="D384" s="13" t="s">
        <v>24</v>
      </c>
      <c r="E384" s="13">
        <v>4</v>
      </c>
      <c r="F384" s="14">
        <v>11642</v>
      </c>
      <c r="G384" s="14">
        <v>46568</v>
      </c>
      <c r="H384" s="13" t="s">
        <v>33</v>
      </c>
      <c r="I384" s="13" t="s">
        <v>34</v>
      </c>
    </row>
    <row r="385" spans="1:9" x14ac:dyDescent="0.3">
      <c r="A385" s="12">
        <v>45748</v>
      </c>
      <c r="B385" s="13" t="s">
        <v>20</v>
      </c>
      <c r="C385" s="13" t="s">
        <v>22</v>
      </c>
      <c r="D385" s="13" t="s">
        <v>11</v>
      </c>
      <c r="E385" s="13">
        <v>3</v>
      </c>
      <c r="F385" s="14">
        <v>7687</v>
      </c>
      <c r="G385" s="14">
        <v>23061</v>
      </c>
      <c r="H385" s="13" t="s">
        <v>33</v>
      </c>
      <c r="I385" s="13" t="s">
        <v>34</v>
      </c>
    </row>
    <row r="386" spans="1:9" x14ac:dyDescent="0.3">
      <c r="A386" s="12">
        <v>45748</v>
      </c>
      <c r="B386" s="13" t="s">
        <v>17</v>
      </c>
      <c r="C386" s="13" t="s">
        <v>15</v>
      </c>
      <c r="D386" s="13" t="s">
        <v>28</v>
      </c>
      <c r="E386" s="13">
        <v>9</v>
      </c>
      <c r="F386" s="14">
        <v>21396</v>
      </c>
      <c r="G386" s="14">
        <v>192564</v>
      </c>
      <c r="H386" s="13" t="s">
        <v>33</v>
      </c>
      <c r="I386" s="13" t="s">
        <v>34</v>
      </c>
    </row>
    <row r="387" spans="1:9" x14ac:dyDescent="0.3">
      <c r="A387" s="12">
        <v>45748</v>
      </c>
      <c r="B387" s="13" t="s">
        <v>17</v>
      </c>
      <c r="C387" s="13" t="s">
        <v>25</v>
      </c>
      <c r="D387" s="13" t="s">
        <v>14</v>
      </c>
      <c r="E387" s="13">
        <v>7</v>
      </c>
      <c r="F387" s="14">
        <v>54066</v>
      </c>
      <c r="G387" s="14">
        <v>378462</v>
      </c>
      <c r="H387" s="13" t="s">
        <v>33</v>
      </c>
      <c r="I387" s="13" t="s">
        <v>34</v>
      </c>
    </row>
    <row r="388" spans="1:9" x14ac:dyDescent="0.3">
      <c r="A388" s="12">
        <v>45749</v>
      </c>
      <c r="B388" s="13" t="s">
        <v>9</v>
      </c>
      <c r="C388" s="13" t="s">
        <v>10</v>
      </c>
      <c r="D388" s="13" t="s">
        <v>27</v>
      </c>
      <c r="E388" s="13">
        <v>1</v>
      </c>
      <c r="F388" s="14">
        <v>12557</v>
      </c>
      <c r="G388" s="14">
        <v>12557</v>
      </c>
      <c r="H388" s="13" t="s">
        <v>33</v>
      </c>
      <c r="I388" s="13" t="s">
        <v>34</v>
      </c>
    </row>
    <row r="389" spans="1:9" x14ac:dyDescent="0.3">
      <c r="A389" s="12">
        <v>45749</v>
      </c>
      <c r="B389" s="13" t="s">
        <v>17</v>
      </c>
      <c r="C389" s="13" t="s">
        <v>21</v>
      </c>
      <c r="D389" s="13" t="s">
        <v>24</v>
      </c>
      <c r="E389" s="13">
        <v>8</v>
      </c>
      <c r="F389" s="14">
        <v>3552</v>
      </c>
      <c r="G389" s="14">
        <v>28416</v>
      </c>
      <c r="H389" s="13" t="s">
        <v>33</v>
      </c>
      <c r="I389" s="13" t="s">
        <v>34</v>
      </c>
    </row>
    <row r="390" spans="1:9" x14ac:dyDescent="0.3">
      <c r="A390" s="12">
        <v>45749</v>
      </c>
      <c r="B390" s="13" t="s">
        <v>20</v>
      </c>
      <c r="C390" s="13" t="s">
        <v>19</v>
      </c>
      <c r="D390" s="13" t="s">
        <v>11</v>
      </c>
      <c r="E390" s="13">
        <v>1</v>
      </c>
      <c r="F390" s="14">
        <v>18734</v>
      </c>
      <c r="G390" s="14">
        <v>18734</v>
      </c>
      <c r="H390" s="13" t="s">
        <v>33</v>
      </c>
      <c r="I390" s="13" t="s">
        <v>34</v>
      </c>
    </row>
    <row r="391" spans="1:9" x14ac:dyDescent="0.3">
      <c r="A391" s="12">
        <v>45749</v>
      </c>
      <c r="B391" s="13" t="s">
        <v>9</v>
      </c>
      <c r="C391" s="13" t="s">
        <v>10</v>
      </c>
      <c r="D391" s="13" t="s">
        <v>16</v>
      </c>
      <c r="E391" s="13">
        <v>9</v>
      </c>
      <c r="F391" s="14">
        <v>12286</v>
      </c>
      <c r="G391" s="14">
        <v>110574</v>
      </c>
      <c r="H391" s="13" t="s">
        <v>33</v>
      </c>
      <c r="I391" s="13" t="s">
        <v>34</v>
      </c>
    </row>
    <row r="392" spans="1:9" x14ac:dyDescent="0.3">
      <c r="A392" s="12">
        <v>45749</v>
      </c>
      <c r="B392" s="13" t="s">
        <v>9</v>
      </c>
      <c r="C392" s="13" t="s">
        <v>15</v>
      </c>
      <c r="D392" s="13" t="s">
        <v>18</v>
      </c>
      <c r="E392" s="13">
        <v>3</v>
      </c>
      <c r="F392" s="14">
        <v>22954</v>
      </c>
      <c r="G392" s="14">
        <v>68862</v>
      </c>
      <c r="H392" s="13" t="s">
        <v>33</v>
      </c>
      <c r="I392" s="13" t="s">
        <v>34</v>
      </c>
    </row>
    <row r="393" spans="1:9" x14ac:dyDescent="0.3">
      <c r="A393" s="12">
        <v>45750</v>
      </c>
      <c r="B393" s="13" t="s">
        <v>23</v>
      </c>
      <c r="C393" s="13" t="s">
        <v>21</v>
      </c>
      <c r="D393" s="13" t="s">
        <v>27</v>
      </c>
      <c r="E393" s="13">
        <v>5</v>
      </c>
      <c r="F393" s="14">
        <v>3631</v>
      </c>
      <c r="G393" s="14">
        <v>18155</v>
      </c>
      <c r="H393" s="13" t="s">
        <v>33</v>
      </c>
      <c r="I393" s="13" t="s">
        <v>34</v>
      </c>
    </row>
    <row r="394" spans="1:9" x14ac:dyDescent="0.3">
      <c r="A394" s="12">
        <v>45750</v>
      </c>
      <c r="B394" s="13" t="s">
        <v>9</v>
      </c>
      <c r="C394" s="13" t="s">
        <v>19</v>
      </c>
      <c r="D394" s="13" t="s">
        <v>14</v>
      </c>
      <c r="E394" s="13">
        <v>6</v>
      </c>
      <c r="F394" s="14">
        <v>17612</v>
      </c>
      <c r="G394" s="14">
        <v>105672</v>
      </c>
      <c r="H394" s="13" t="s">
        <v>33</v>
      </c>
      <c r="I394" s="13" t="s">
        <v>34</v>
      </c>
    </row>
    <row r="395" spans="1:9" x14ac:dyDescent="0.3">
      <c r="A395" s="12">
        <v>45751</v>
      </c>
      <c r="B395" s="13" t="s">
        <v>23</v>
      </c>
      <c r="C395" s="13" t="s">
        <v>15</v>
      </c>
      <c r="D395" s="13" t="s">
        <v>24</v>
      </c>
      <c r="E395" s="13">
        <v>5</v>
      </c>
      <c r="F395" s="14">
        <v>21324</v>
      </c>
      <c r="G395" s="14">
        <v>106620</v>
      </c>
      <c r="H395" s="13" t="s">
        <v>33</v>
      </c>
      <c r="I395" s="13" t="s">
        <v>34</v>
      </c>
    </row>
    <row r="396" spans="1:9" x14ac:dyDescent="0.3">
      <c r="A396" s="12">
        <v>45751</v>
      </c>
      <c r="B396" s="13" t="s">
        <v>9</v>
      </c>
      <c r="C396" s="13" t="s">
        <v>19</v>
      </c>
      <c r="D396" s="13" t="s">
        <v>27</v>
      </c>
      <c r="E396" s="13">
        <v>8</v>
      </c>
      <c r="F396" s="14">
        <v>18266</v>
      </c>
      <c r="G396" s="14">
        <v>146128</v>
      </c>
      <c r="H396" s="13" t="s">
        <v>33</v>
      </c>
      <c r="I396" s="13" t="s">
        <v>34</v>
      </c>
    </row>
    <row r="397" spans="1:9" x14ac:dyDescent="0.3">
      <c r="A397" s="12">
        <v>45751</v>
      </c>
      <c r="B397" s="13" t="s">
        <v>17</v>
      </c>
      <c r="C397" s="13" t="s">
        <v>25</v>
      </c>
      <c r="D397" s="13" t="s">
        <v>26</v>
      </c>
      <c r="E397" s="13">
        <v>5</v>
      </c>
      <c r="F397" s="14">
        <v>55372</v>
      </c>
      <c r="G397" s="14">
        <v>276860</v>
      </c>
      <c r="H397" s="13" t="s">
        <v>33</v>
      </c>
      <c r="I397" s="13" t="s">
        <v>34</v>
      </c>
    </row>
    <row r="398" spans="1:9" x14ac:dyDescent="0.3">
      <c r="A398" s="12">
        <v>45751</v>
      </c>
      <c r="B398" s="13" t="s">
        <v>17</v>
      </c>
      <c r="C398" s="13" t="s">
        <v>15</v>
      </c>
      <c r="D398" s="13" t="s">
        <v>18</v>
      </c>
      <c r="E398" s="13">
        <v>7</v>
      </c>
      <c r="F398" s="14">
        <v>22033</v>
      </c>
      <c r="G398" s="14">
        <v>154231</v>
      </c>
      <c r="H398" s="13" t="s">
        <v>33</v>
      </c>
      <c r="I398" s="13" t="s">
        <v>34</v>
      </c>
    </row>
    <row r="399" spans="1:9" x14ac:dyDescent="0.3">
      <c r="A399" s="12">
        <v>45751</v>
      </c>
      <c r="B399" s="13" t="s">
        <v>9</v>
      </c>
      <c r="C399" s="13" t="s">
        <v>21</v>
      </c>
      <c r="D399" s="13" t="s">
        <v>14</v>
      </c>
      <c r="E399" s="13">
        <v>3</v>
      </c>
      <c r="F399" s="14">
        <v>3668</v>
      </c>
      <c r="G399" s="14">
        <v>11004</v>
      </c>
      <c r="H399" s="13" t="s">
        <v>33</v>
      </c>
      <c r="I399" s="13" t="s">
        <v>34</v>
      </c>
    </row>
    <row r="400" spans="1:9" x14ac:dyDescent="0.3">
      <c r="A400" s="12">
        <v>45751</v>
      </c>
      <c r="B400" s="13" t="s">
        <v>23</v>
      </c>
      <c r="C400" s="13" t="s">
        <v>19</v>
      </c>
      <c r="D400" s="13" t="s">
        <v>16</v>
      </c>
      <c r="E400" s="13">
        <v>1</v>
      </c>
      <c r="F400" s="14">
        <v>17569</v>
      </c>
      <c r="G400" s="14">
        <v>17569</v>
      </c>
      <c r="H400" s="13" t="s">
        <v>33</v>
      </c>
      <c r="I400" s="13" t="s">
        <v>34</v>
      </c>
    </row>
    <row r="401" spans="1:9" x14ac:dyDescent="0.3">
      <c r="A401" s="12">
        <v>45752</v>
      </c>
      <c r="B401" s="13" t="s">
        <v>23</v>
      </c>
      <c r="C401" s="13" t="s">
        <v>19</v>
      </c>
      <c r="D401" s="13" t="s">
        <v>26</v>
      </c>
      <c r="E401" s="13">
        <v>5</v>
      </c>
      <c r="F401" s="14">
        <v>18148</v>
      </c>
      <c r="G401" s="14">
        <v>90740</v>
      </c>
      <c r="H401" s="13" t="s">
        <v>33</v>
      </c>
      <c r="I401" s="13" t="s">
        <v>34</v>
      </c>
    </row>
    <row r="402" spans="1:9" x14ac:dyDescent="0.3">
      <c r="A402" s="12">
        <v>45752</v>
      </c>
      <c r="B402" s="13" t="s">
        <v>9</v>
      </c>
      <c r="C402" s="13" t="s">
        <v>19</v>
      </c>
      <c r="D402" s="13" t="s">
        <v>26</v>
      </c>
      <c r="E402" s="13">
        <v>4</v>
      </c>
      <c r="F402" s="14">
        <v>17211</v>
      </c>
      <c r="G402" s="14">
        <v>68844</v>
      </c>
      <c r="H402" s="13" t="s">
        <v>33</v>
      </c>
      <c r="I402" s="13" t="s">
        <v>34</v>
      </c>
    </row>
    <row r="403" spans="1:9" x14ac:dyDescent="0.3">
      <c r="A403" s="12">
        <v>45752</v>
      </c>
      <c r="B403" s="13" t="s">
        <v>9</v>
      </c>
      <c r="C403" s="13" t="s">
        <v>21</v>
      </c>
      <c r="D403" s="13" t="s">
        <v>11</v>
      </c>
      <c r="E403" s="13">
        <v>3</v>
      </c>
      <c r="F403" s="14">
        <v>3466</v>
      </c>
      <c r="G403" s="14">
        <v>10398</v>
      </c>
      <c r="H403" s="13" t="s">
        <v>33</v>
      </c>
      <c r="I403" s="13" t="s">
        <v>34</v>
      </c>
    </row>
    <row r="404" spans="1:9" x14ac:dyDescent="0.3">
      <c r="A404" s="12">
        <v>45753</v>
      </c>
      <c r="B404" s="13" t="s">
        <v>20</v>
      </c>
      <c r="C404" s="13" t="s">
        <v>10</v>
      </c>
      <c r="D404" s="13" t="s">
        <v>14</v>
      </c>
      <c r="E404" s="13">
        <v>5</v>
      </c>
      <c r="F404" s="14">
        <v>11841</v>
      </c>
      <c r="G404" s="14">
        <v>59205</v>
      </c>
      <c r="H404" s="13" t="s">
        <v>33</v>
      </c>
      <c r="I404" s="13" t="s">
        <v>34</v>
      </c>
    </row>
    <row r="405" spans="1:9" x14ac:dyDescent="0.3">
      <c r="A405" s="12">
        <v>45753</v>
      </c>
      <c r="B405" s="13" t="s">
        <v>17</v>
      </c>
      <c r="C405" s="13" t="s">
        <v>15</v>
      </c>
      <c r="D405" s="13" t="s">
        <v>27</v>
      </c>
      <c r="E405" s="13">
        <v>8</v>
      </c>
      <c r="F405" s="14">
        <v>21237</v>
      </c>
      <c r="G405" s="14">
        <v>169896</v>
      </c>
      <c r="H405" s="13" t="s">
        <v>33</v>
      </c>
      <c r="I405" s="13" t="s">
        <v>34</v>
      </c>
    </row>
    <row r="406" spans="1:9" x14ac:dyDescent="0.3">
      <c r="A406" s="12">
        <v>45753</v>
      </c>
      <c r="B406" s="13" t="s">
        <v>20</v>
      </c>
      <c r="C406" s="13" t="s">
        <v>21</v>
      </c>
      <c r="D406" s="13" t="s">
        <v>24</v>
      </c>
      <c r="E406" s="13">
        <v>9</v>
      </c>
      <c r="F406" s="14">
        <v>3605</v>
      </c>
      <c r="G406" s="14">
        <v>32445</v>
      </c>
      <c r="H406" s="13" t="s">
        <v>33</v>
      </c>
      <c r="I406" s="13" t="s">
        <v>34</v>
      </c>
    </row>
    <row r="407" spans="1:9" x14ac:dyDescent="0.3">
      <c r="A407" s="12">
        <v>45753</v>
      </c>
      <c r="B407" s="13" t="s">
        <v>17</v>
      </c>
      <c r="C407" s="13" t="s">
        <v>15</v>
      </c>
      <c r="D407" s="13" t="s">
        <v>14</v>
      </c>
      <c r="E407" s="13">
        <v>9</v>
      </c>
      <c r="F407" s="14">
        <v>21882</v>
      </c>
      <c r="G407" s="14">
        <v>196938</v>
      </c>
      <c r="H407" s="13" t="s">
        <v>33</v>
      </c>
      <c r="I407" s="13" t="s">
        <v>34</v>
      </c>
    </row>
    <row r="408" spans="1:9" x14ac:dyDescent="0.3">
      <c r="A408" s="12">
        <v>45753</v>
      </c>
      <c r="B408" s="13" t="s">
        <v>20</v>
      </c>
      <c r="C408" s="13" t="s">
        <v>25</v>
      </c>
      <c r="D408" s="13" t="s">
        <v>14</v>
      </c>
      <c r="E408" s="13">
        <v>1</v>
      </c>
      <c r="F408" s="14">
        <v>56808</v>
      </c>
      <c r="G408" s="14">
        <v>56808</v>
      </c>
      <c r="H408" s="13" t="s">
        <v>33</v>
      </c>
      <c r="I408" s="13" t="s">
        <v>34</v>
      </c>
    </row>
    <row r="409" spans="1:9" x14ac:dyDescent="0.3">
      <c r="A409" s="12">
        <v>45753</v>
      </c>
      <c r="B409" s="13" t="s">
        <v>17</v>
      </c>
      <c r="C409" s="13" t="s">
        <v>22</v>
      </c>
      <c r="D409" s="13" t="s">
        <v>27</v>
      </c>
      <c r="E409" s="13">
        <v>3</v>
      </c>
      <c r="F409" s="14">
        <v>7862</v>
      </c>
      <c r="G409" s="14">
        <v>23586</v>
      </c>
      <c r="H409" s="13" t="s">
        <v>33</v>
      </c>
      <c r="I409" s="13" t="s">
        <v>34</v>
      </c>
    </row>
    <row r="410" spans="1:9" x14ac:dyDescent="0.3">
      <c r="A410" s="12">
        <v>45754</v>
      </c>
      <c r="B410" s="13" t="s">
        <v>23</v>
      </c>
      <c r="C410" s="13" t="s">
        <v>25</v>
      </c>
      <c r="D410" s="13" t="s">
        <v>16</v>
      </c>
      <c r="E410" s="13">
        <v>10</v>
      </c>
      <c r="F410" s="14">
        <v>54938</v>
      </c>
      <c r="G410" s="14">
        <v>549380</v>
      </c>
      <c r="H410" s="13" t="s">
        <v>33</v>
      </c>
      <c r="I410" s="13" t="s">
        <v>34</v>
      </c>
    </row>
    <row r="411" spans="1:9" x14ac:dyDescent="0.3">
      <c r="A411" s="12">
        <v>45754</v>
      </c>
      <c r="B411" s="13" t="s">
        <v>23</v>
      </c>
      <c r="C411" s="13" t="s">
        <v>25</v>
      </c>
      <c r="D411" s="13" t="s">
        <v>24</v>
      </c>
      <c r="E411" s="13">
        <v>3</v>
      </c>
      <c r="F411" s="14">
        <v>55072</v>
      </c>
      <c r="G411" s="14">
        <v>165216</v>
      </c>
      <c r="H411" s="13" t="s">
        <v>33</v>
      </c>
      <c r="I411" s="13" t="s">
        <v>34</v>
      </c>
    </row>
    <row r="412" spans="1:9" x14ac:dyDescent="0.3">
      <c r="A412" s="12">
        <v>45754</v>
      </c>
      <c r="B412" s="13" t="s">
        <v>23</v>
      </c>
      <c r="C412" s="13" t="s">
        <v>22</v>
      </c>
      <c r="D412" s="13" t="s">
        <v>28</v>
      </c>
      <c r="E412" s="13">
        <v>9</v>
      </c>
      <c r="F412" s="14">
        <v>7969</v>
      </c>
      <c r="G412" s="14">
        <v>71721</v>
      </c>
      <c r="H412" s="13" t="s">
        <v>33</v>
      </c>
      <c r="I412" s="13" t="s">
        <v>34</v>
      </c>
    </row>
    <row r="413" spans="1:9" x14ac:dyDescent="0.3">
      <c r="A413" s="12">
        <v>45754</v>
      </c>
      <c r="B413" s="13" t="s">
        <v>20</v>
      </c>
      <c r="C413" s="13" t="s">
        <v>10</v>
      </c>
      <c r="D413" s="13" t="s">
        <v>28</v>
      </c>
      <c r="E413" s="13">
        <v>7</v>
      </c>
      <c r="F413" s="14">
        <v>11705</v>
      </c>
      <c r="G413" s="14">
        <v>81935</v>
      </c>
      <c r="H413" s="13" t="s">
        <v>33</v>
      </c>
      <c r="I413" s="13" t="s">
        <v>34</v>
      </c>
    </row>
    <row r="414" spans="1:9" x14ac:dyDescent="0.3">
      <c r="A414" s="12">
        <v>45754</v>
      </c>
      <c r="B414" s="13" t="s">
        <v>9</v>
      </c>
      <c r="C414" s="13" t="s">
        <v>10</v>
      </c>
      <c r="D414" s="13" t="s">
        <v>16</v>
      </c>
      <c r="E414" s="13">
        <v>10</v>
      </c>
      <c r="F414" s="14">
        <v>11487</v>
      </c>
      <c r="G414" s="14">
        <v>114870</v>
      </c>
      <c r="H414" s="13" t="s">
        <v>33</v>
      </c>
      <c r="I414" s="13" t="s">
        <v>34</v>
      </c>
    </row>
    <row r="415" spans="1:9" x14ac:dyDescent="0.3">
      <c r="A415" s="12">
        <v>45754</v>
      </c>
      <c r="B415" s="13" t="s">
        <v>23</v>
      </c>
      <c r="C415" s="13" t="s">
        <v>19</v>
      </c>
      <c r="D415" s="13" t="s">
        <v>14</v>
      </c>
      <c r="E415" s="13">
        <v>9</v>
      </c>
      <c r="F415" s="14">
        <v>18889</v>
      </c>
      <c r="G415" s="14">
        <v>170001</v>
      </c>
      <c r="H415" s="13" t="s">
        <v>33</v>
      </c>
      <c r="I415" s="13" t="s">
        <v>34</v>
      </c>
    </row>
    <row r="416" spans="1:9" x14ac:dyDescent="0.3">
      <c r="A416" s="12">
        <v>45755</v>
      </c>
      <c r="B416" s="13" t="s">
        <v>23</v>
      </c>
      <c r="C416" s="13" t="s">
        <v>25</v>
      </c>
      <c r="D416" s="13" t="s">
        <v>11</v>
      </c>
      <c r="E416" s="13">
        <v>7</v>
      </c>
      <c r="F416" s="14">
        <v>53239</v>
      </c>
      <c r="G416" s="14">
        <v>372673</v>
      </c>
      <c r="H416" s="13" t="s">
        <v>33</v>
      </c>
      <c r="I416" s="13" t="s">
        <v>34</v>
      </c>
    </row>
    <row r="417" spans="1:9" x14ac:dyDescent="0.3">
      <c r="A417" s="12">
        <v>45755</v>
      </c>
      <c r="B417" s="13" t="s">
        <v>17</v>
      </c>
      <c r="C417" s="13" t="s">
        <v>10</v>
      </c>
      <c r="D417" s="13" t="s">
        <v>18</v>
      </c>
      <c r="E417" s="13">
        <v>6</v>
      </c>
      <c r="F417" s="14">
        <v>12591</v>
      </c>
      <c r="G417" s="14">
        <v>75546</v>
      </c>
      <c r="H417" s="13" t="s">
        <v>33</v>
      </c>
      <c r="I417" s="13" t="s">
        <v>34</v>
      </c>
    </row>
    <row r="418" spans="1:9" x14ac:dyDescent="0.3">
      <c r="A418" s="12">
        <v>45756</v>
      </c>
      <c r="B418" s="13" t="s">
        <v>23</v>
      </c>
      <c r="C418" s="13" t="s">
        <v>21</v>
      </c>
      <c r="D418" s="13" t="s">
        <v>18</v>
      </c>
      <c r="E418" s="13">
        <v>2</v>
      </c>
      <c r="F418" s="14">
        <v>3563</v>
      </c>
      <c r="G418" s="14">
        <v>7126</v>
      </c>
      <c r="H418" s="13" t="s">
        <v>33</v>
      </c>
      <c r="I418" s="13" t="s">
        <v>34</v>
      </c>
    </row>
    <row r="419" spans="1:9" x14ac:dyDescent="0.3">
      <c r="A419" s="12">
        <v>45756</v>
      </c>
      <c r="B419" s="13" t="s">
        <v>17</v>
      </c>
      <c r="C419" s="13" t="s">
        <v>10</v>
      </c>
      <c r="D419" s="13" t="s">
        <v>26</v>
      </c>
      <c r="E419" s="13">
        <v>2</v>
      </c>
      <c r="F419" s="14">
        <v>11614</v>
      </c>
      <c r="G419" s="14">
        <v>23228</v>
      </c>
      <c r="H419" s="13" t="s">
        <v>33</v>
      </c>
      <c r="I419" s="13" t="s">
        <v>34</v>
      </c>
    </row>
    <row r="420" spans="1:9" x14ac:dyDescent="0.3">
      <c r="A420" s="12">
        <v>45756</v>
      </c>
      <c r="B420" s="13" t="s">
        <v>23</v>
      </c>
      <c r="C420" s="13" t="s">
        <v>22</v>
      </c>
      <c r="D420" s="13" t="s">
        <v>27</v>
      </c>
      <c r="E420" s="13">
        <v>4</v>
      </c>
      <c r="F420" s="14">
        <v>8267</v>
      </c>
      <c r="G420" s="14">
        <v>33068</v>
      </c>
      <c r="H420" s="13" t="s">
        <v>33</v>
      </c>
      <c r="I420" s="13" t="s">
        <v>34</v>
      </c>
    </row>
    <row r="421" spans="1:9" x14ac:dyDescent="0.3">
      <c r="A421" s="12">
        <v>45756</v>
      </c>
      <c r="B421" s="13" t="s">
        <v>9</v>
      </c>
      <c r="C421" s="13" t="s">
        <v>19</v>
      </c>
      <c r="D421" s="13" t="s">
        <v>24</v>
      </c>
      <c r="E421" s="13">
        <v>9</v>
      </c>
      <c r="F421" s="14">
        <v>17863</v>
      </c>
      <c r="G421" s="14">
        <v>160767</v>
      </c>
      <c r="H421" s="13" t="s">
        <v>33</v>
      </c>
      <c r="I421" s="13" t="s">
        <v>34</v>
      </c>
    </row>
    <row r="422" spans="1:9" x14ac:dyDescent="0.3">
      <c r="A422" s="12">
        <v>45756</v>
      </c>
      <c r="B422" s="13" t="s">
        <v>23</v>
      </c>
      <c r="C422" s="13" t="s">
        <v>15</v>
      </c>
      <c r="D422" s="13" t="s">
        <v>16</v>
      </c>
      <c r="E422" s="13">
        <v>8</v>
      </c>
      <c r="F422" s="14">
        <v>21661</v>
      </c>
      <c r="G422" s="14">
        <v>173288</v>
      </c>
      <c r="H422" s="13" t="s">
        <v>33</v>
      </c>
      <c r="I422" s="13" t="s">
        <v>34</v>
      </c>
    </row>
    <row r="423" spans="1:9" x14ac:dyDescent="0.3">
      <c r="A423" s="12">
        <v>45757</v>
      </c>
      <c r="B423" s="13" t="s">
        <v>17</v>
      </c>
      <c r="C423" s="13" t="s">
        <v>10</v>
      </c>
      <c r="D423" s="13" t="s">
        <v>14</v>
      </c>
      <c r="E423" s="13">
        <v>1</v>
      </c>
      <c r="F423" s="14">
        <v>12371</v>
      </c>
      <c r="G423" s="14">
        <v>12371</v>
      </c>
      <c r="H423" s="13" t="s">
        <v>33</v>
      </c>
      <c r="I423" s="13" t="s">
        <v>34</v>
      </c>
    </row>
    <row r="424" spans="1:9" x14ac:dyDescent="0.3">
      <c r="A424" s="12">
        <v>45757</v>
      </c>
      <c r="B424" s="13" t="s">
        <v>23</v>
      </c>
      <c r="C424" s="13" t="s">
        <v>22</v>
      </c>
      <c r="D424" s="13" t="s">
        <v>28</v>
      </c>
      <c r="E424" s="13">
        <v>4</v>
      </c>
      <c r="F424" s="14">
        <v>7764</v>
      </c>
      <c r="G424" s="14">
        <v>31056</v>
      </c>
      <c r="H424" s="13" t="s">
        <v>33</v>
      </c>
      <c r="I424" s="13" t="s">
        <v>34</v>
      </c>
    </row>
    <row r="425" spans="1:9" x14ac:dyDescent="0.3">
      <c r="A425" s="12">
        <v>45757</v>
      </c>
      <c r="B425" s="13" t="s">
        <v>9</v>
      </c>
      <c r="C425" s="13" t="s">
        <v>22</v>
      </c>
      <c r="D425" s="13" t="s">
        <v>28</v>
      </c>
      <c r="E425" s="13">
        <v>8</v>
      </c>
      <c r="F425" s="14">
        <v>8078</v>
      </c>
      <c r="G425" s="14">
        <v>64624</v>
      </c>
      <c r="H425" s="13" t="s">
        <v>33</v>
      </c>
      <c r="I425" s="13" t="s">
        <v>34</v>
      </c>
    </row>
    <row r="426" spans="1:9" x14ac:dyDescent="0.3">
      <c r="A426" s="12">
        <v>45757</v>
      </c>
      <c r="B426" s="13" t="s">
        <v>9</v>
      </c>
      <c r="C426" s="13" t="s">
        <v>15</v>
      </c>
      <c r="D426" s="13" t="s">
        <v>28</v>
      </c>
      <c r="E426" s="13">
        <v>7</v>
      </c>
      <c r="F426" s="14">
        <v>21865</v>
      </c>
      <c r="G426" s="14">
        <v>153055</v>
      </c>
      <c r="H426" s="13" t="s">
        <v>33</v>
      </c>
      <c r="I426" s="13" t="s">
        <v>34</v>
      </c>
    </row>
    <row r="427" spans="1:9" x14ac:dyDescent="0.3">
      <c r="A427" s="12">
        <v>45758</v>
      </c>
      <c r="B427" s="13" t="s">
        <v>17</v>
      </c>
      <c r="C427" s="13" t="s">
        <v>25</v>
      </c>
      <c r="D427" s="13" t="s">
        <v>27</v>
      </c>
      <c r="E427" s="13">
        <v>9</v>
      </c>
      <c r="F427" s="14">
        <v>57714</v>
      </c>
      <c r="G427" s="14">
        <v>519426</v>
      </c>
      <c r="H427" s="13" t="s">
        <v>33</v>
      </c>
      <c r="I427" s="13" t="s">
        <v>34</v>
      </c>
    </row>
    <row r="428" spans="1:9" x14ac:dyDescent="0.3">
      <c r="A428" s="12">
        <v>45758</v>
      </c>
      <c r="B428" s="13" t="s">
        <v>17</v>
      </c>
      <c r="C428" s="13" t="s">
        <v>10</v>
      </c>
      <c r="D428" s="13" t="s">
        <v>26</v>
      </c>
      <c r="E428" s="13">
        <v>10</v>
      </c>
      <c r="F428" s="14">
        <v>12117</v>
      </c>
      <c r="G428" s="14">
        <v>121170</v>
      </c>
      <c r="H428" s="13" t="s">
        <v>33</v>
      </c>
      <c r="I428" s="13" t="s">
        <v>34</v>
      </c>
    </row>
    <row r="429" spans="1:9" x14ac:dyDescent="0.3">
      <c r="A429" s="12">
        <v>45758</v>
      </c>
      <c r="B429" s="13" t="s">
        <v>20</v>
      </c>
      <c r="C429" s="13" t="s">
        <v>15</v>
      </c>
      <c r="D429" s="13" t="s">
        <v>11</v>
      </c>
      <c r="E429" s="13">
        <v>3</v>
      </c>
      <c r="F429" s="14">
        <v>23068</v>
      </c>
      <c r="G429" s="14">
        <v>69204</v>
      </c>
      <c r="H429" s="13" t="s">
        <v>33</v>
      </c>
      <c r="I429" s="13" t="s">
        <v>34</v>
      </c>
    </row>
    <row r="430" spans="1:9" x14ac:dyDescent="0.3">
      <c r="A430" s="12">
        <v>45758</v>
      </c>
      <c r="B430" s="13" t="s">
        <v>17</v>
      </c>
      <c r="C430" s="13" t="s">
        <v>21</v>
      </c>
      <c r="D430" s="13" t="s">
        <v>11</v>
      </c>
      <c r="E430" s="13">
        <v>5</v>
      </c>
      <c r="F430" s="14">
        <v>3346</v>
      </c>
      <c r="G430" s="14">
        <v>16730</v>
      </c>
      <c r="H430" s="13" t="s">
        <v>33</v>
      </c>
      <c r="I430" s="13" t="s">
        <v>34</v>
      </c>
    </row>
    <row r="431" spans="1:9" x14ac:dyDescent="0.3">
      <c r="A431" s="12">
        <v>45758</v>
      </c>
      <c r="B431" s="13" t="s">
        <v>17</v>
      </c>
      <c r="C431" s="13" t="s">
        <v>10</v>
      </c>
      <c r="D431" s="13" t="s">
        <v>18</v>
      </c>
      <c r="E431" s="13">
        <v>9</v>
      </c>
      <c r="F431" s="14">
        <v>11994</v>
      </c>
      <c r="G431" s="14">
        <v>107946</v>
      </c>
      <c r="H431" s="13" t="s">
        <v>33</v>
      </c>
      <c r="I431" s="13" t="s">
        <v>34</v>
      </c>
    </row>
    <row r="432" spans="1:9" x14ac:dyDescent="0.3">
      <c r="A432" s="12">
        <v>45758</v>
      </c>
      <c r="B432" s="13" t="s">
        <v>20</v>
      </c>
      <c r="C432" s="13" t="s">
        <v>10</v>
      </c>
      <c r="D432" s="13" t="s">
        <v>18</v>
      </c>
      <c r="E432" s="13">
        <v>9</v>
      </c>
      <c r="F432" s="14">
        <v>11782</v>
      </c>
      <c r="G432" s="14">
        <v>106038</v>
      </c>
      <c r="H432" s="13" t="s">
        <v>33</v>
      </c>
      <c r="I432" s="13" t="s">
        <v>34</v>
      </c>
    </row>
    <row r="433" spans="1:9" x14ac:dyDescent="0.3">
      <c r="A433" s="12">
        <v>45759</v>
      </c>
      <c r="B433" s="13" t="s">
        <v>23</v>
      </c>
      <c r="C433" s="13" t="s">
        <v>15</v>
      </c>
      <c r="D433" s="13" t="s">
        <v>11</v>
      </c>
      <c r="E433" s="13">
        <v>7</v>
      </c>
      <c r="F433" s="14">
        <v>21304</v>
      </c>
      <c r="G433" s="14">
        <v>149128</v>
      </c>
      <c r="H433" s="13" t="s">
        <v>33</v>
      </c>
      <c r="I433" s="13" t="s">
        <v>34</v>
      </c>
    </row>
    <row r="434" spans="1:9" x14ac:dyDescent="0.3">
      <c r="A434" s="12">
        <v>45759</v>
      </c>
      <c r="B434" s="13" t="s">
        <v>23</v>
      </c>
      <c r="C434" s="13" t="s">
        <v>15</v>
      </c>
      <c r="D434" s="13" t="s">
        <v>16</v>
      </c>
      <c r="E434" s="13">
        <v>5</v>
      </c>
      <c r="F434" s="14">
        <v>22786</v>
      </c>
      <c r="G434" s="14">
        <v>113930</v>
      </c>
      <c r="H434" s="13" t="s">
        <v>33</v>
      </c>
      <c r="I434" s="13" t="s">
        <v>34</v>
      </c>
    </row>
    <row r="435" spans="1:9" x14ac:dyDescent="0.3">
      <c r="A435" s="12">
        <v>45759</v>
      </c>
      <c r="B435" s="13" t="s">
        <v>17</v>
      </c>
      <c r="C435" s="13" t="s">
        <v>21</v>
      </c>
      <c r="D435" s="13" t="s">
        <v>28</v>
      </c>
      <c r="E435" s="13">
        <v>9</v>
      </c>
      <c r="F435" s="14">
        <v>3469</v>
      </c>
      <c r="G435" s="14">
        <v>31221</v>
      </c>
      <c r="H435" s="13" t="s">
        <v>33</v>
      </c>
      <c r="I435" s="13" t="s">
        <v>34</v>
      </c>
    </row>
    <row r="436" spans="1:9" x14ac:dyDescent="0.3">
      <c r="A436" s="12">
        <v>45759</v>
      </c>
      <c r="B436" s="13" t="s">
        <v>23</v>
      </c>
      <c r="C436" s="13" t="s">
        <v>22</v>
      </c>
      <c r="D436" s="13" t="s">
        <v>27</v>
      </c>
      <c r="E436" s="13">
        <v>7</v>
      </c>
      <c r="F436" s="14">
        <v>7794</v>
      </c>
      <c r="G436" s="14">
        <v>54558</v>
      </c>
      <c r="H436" s="13" t="s">
        <v>33</v>
      </c>
      <c r="I436" s="13" t="s">
        <v>34</v>
      </c>
    </row>
    <row r="437" spans="1:9" x14ac:dyDescent="0.3">
      <c r="A437" s="12">
        <v>45759</v>
      </c>
      <c r="B437" s="13" t="s">
        <v>17</v>
      </c>
      <c r="C437" s="13" t="s">
        <v>19</v>
      </c>
      <c r="D437" s="13" t="s">
        <v>14</v>
      </c>
      <c r="E437" s="13">
        <v>8</v>
      </c>
      <c r="F437" s="14">
        <v>18624</v>
      </c>
      <c r="G437" s="14">
        <v>148992</v>
      </c>
      <c r="H437" s="13" t="s">
        <v>33</v>
      </c>
      <c r="I437" s="13" t="s">
        <v>34</v>
      </c>
    </row>
    <row r="438" spans="1:9" x14ac:dyDescent="0.3">
      <c r="A438" s="12">
        <v>45760</v>
      </c>
      <c r="B438" s="13" t="s">
        <v>17</v>
      </c>
      <c r="C438" s="13" t="s">
        <v>25</v>
      </c>
      <c r="D438" s="13" t="s">
        <v>11</v>
      </c>
      <c r="E438" s="13">
        <v>7</v>
      </c>
      <c r="F438" s="14">
        <v>55955</v>
      </c>
      <c r="G438" s="14">
        <v>391685</v>
      </c>
      <c r="H438" s="13" t="s">
        <v>33</v>
      </c>
      <c r="I438" s="13" t="s">
        <v>34</v>
      </c>
    </row>
    <row r="439" spans="1:9" x14ac:dyDescent="0.3">
      <c r="A439" s="12">
        <v>45760</v>
      </c>
      <c r="B439" s="13" t="s">
        <v>9</v>
      </c>
      <c r="C439" s="13" t="s">
        <v>25</v>
      </c>
      <c r="D439" s="13" t="s">
        <v>16</v>
      </c>
      <c r="E439" s="13">
        <v>10</v>
      </c>
      <c r="F439" s="14">
        <v>56233</v>
      </c>
      <c r="G439" s="14">
        <v>562330</v>
      </c>
      <c r="H439" s="13" t="s">
        <v>33</v>
      </c>
      <c r="I439" s="13" t="s">
        <v>34</v>
      </c>
    </row>
    <row r="440" spans="1:9" x14ac:dyDescent="0.3">
      <c r="A440" s="12">
        <v>45761</v>
      </c>
      <c r="B440" s="13" t="s">
        <v>17</v>
      </c>
      <c r="C440" s="13" t="s">
        <v>21</v>
      </c>
      <c r="D440" s="13" t="s">
        <v>16</v>
      </c>
      <c r="E440" s="13">
        <v>6</v>
      </c>
      <c r="F440" s="14">
        <v>3431</v>
      </c>
      <c r="G440" s="14">
        <v>20586</v>
      </c>
      <c r="H440" s="13" t="s">
        <v>33</v>
      </c>
      <c r="I440" s="13" t="s">
        <v>34</v>
      </c>
    </row>
    <row r="441" spans="1:9" x14ac:dyDescent="0.3">
      <c r="A441" s="12">
        <v>45761</v>
      </c>
      <c r="B441" s="13" t="s">
        <v>9</v>
      </c>
      <c r="C441" s="13" t="s">
        <v>15</v>
      </c>
      <c r="D441" s="13" t="s">
        <v>16</v>
      </c>
      <c r="E441" s="13">
        <v>2</v>
      </c>
      <c r="F441" s="14">
        <v>22543</v>
      </c>
      <c r="G441" s="14">
        <v>45086</v>
      </c>
      <c r="H441" s="13" t="s">
        <v>33</v>
      </c>
      <c r="I441" s="13" t="s">
        <v>34</v>
      </c>
    </row>
    <row r="442" spans="1:9" x14ac:dyDescent="0.3">
      <c r="A442" s="12">
        <v>45761</v>
      </c>
      <c r="B442" s="13" t="s">
        <v>23</v>
      </c>
      <c r="C442" s="13" t="s">
        <v>15</v>
      </c>
      <c r="D442" s="13" t="s">
        <v>16</v>
      </c>
      <c r="E442" s="13">
        <v>7</v>
      </c>
      <c r="F442" s="14">
        <v>22913</v>
      </c>
      <c r="G442" s="14">
        <v>160391</v>
      </c>
      <c r="H442" s="13" t="s">
        <v>33</v>
      </c>
      <c r="I442" s="13" t="s">
        <v>34</v>
      </c>
    </row>
    <row r="443" spans="1:9" x14ac:dyDescent="0.3">
      <c r="A443" s="12">
        <v>45761</v>
      </c>
      <c r="B443" s="13" t="s">
        <v>20</v>
      </c>
      <c r="C443" s="13" t="s">
        <v>19</v>
      </c>
      <c r="D443" s="13" t="s">
        <v>18</v>
      </c>
      <c r="E443" s="13">
        <v>8</v>
      </c>
      <c r="F443" s="14">
        <v>18060</v>
      </c>
      <c r="G443" s="14">
        <v>144480</v>
      </c>
      <c r="H443" s="13" t="s">
        <v>33</v>
      </c>
      <c r="I443" s="13" t="s">
        <v>34</v>
      </c>
    </row>
    <row r="444" spans="1:9" x14ac:dyDescent="0.3">
      <c r="A444" s="12">
        <v>45761</v>
      </c>
      <c r="B444" s="13" t="s">
        <v>20</v>
      </c>
      <c r="C444" s="13" t="s">
        <v>19</v>
      </c>
      <c r="D444" s="13" t="s">
        <v>11</v>
      </c>
      <c r="E444" s="13">
        <v>6</v>
      </c>
      <c r="F444" s="14">
        <v>18023</v>
      </c>
      <c r="G444" s="14">
        <v>108138</v>
      </c>
      <c r="H444" s="13" t="s">
        <v>33</v>
      </c>
      <c r="I444" s="13" t="s">
        <v>34</v>
      </c>
    </row>
    <row r="445" spans="1:9" x14ac:dyDescent="0.3">
      <c r="A445" s="12">
        <v>45761</v>
      </c>
      <c r="B445" s="13" t="s">
        <v>23</v>
      </c>
      <c r="C445" s="13" t="s">
        <v>21</v>
      </c>
      <c r="D445" s="13" t="s">
        <v>14</v>
      </c>
      <c r="E445" s="13">
        <v>8</v>
      </c>
      <c r="F445" s="14">
        <v>3591</v>
      </c>
      <c r="G445" s="14">
        <v>28728</v>
      </c>
      <c r="H445" s="13" t="s">
        <v>33</v>
      </c>
      <c r="I445" s="13" t="s">
        <v>34</v>
      </c>
    </row>
    <row r="446" spans="1:9" x14ac:dyDescent="0.3">
      <c r="A446" s="12">
        <v>45762</v>
      </c>
      <c r="B446" s="13" t="s">
        <v>17</v>
      </c>
      <c r="C446" s="13" t="s">
        <v>19</v>
      </c>
      <c r="D446" s="13" t="s">
        <v>26</v>
      </c>
      <c r="E446" s="13">
        <v>7</v>
      </c>
      <c r="F446" s="14">
        <v>17182</v>
      </c>
      <c r="G446" s="14">
        <v>120274</v>
      </c>
      <c r="H446" s="13" t="s">
        <v>33</v>
      </c>
      <c r="I446" s="13" t="s">
        <v>34</v>
      </c>
    </row>
    <row r="447" spans="1:9" x14ac:dyDescent="0.3">
      <c r="A447" s="12">
        <v>45762</v>
      </c>
      <c r="B447" s="13" t="s">
        <v>17</v>
      </c>
      <c r="C447" s="13" t="s">
        <v>10</v>
      </c>
      <c r="D447" s="13" t="s">
        <v>27</v>
      </c>
      <c r="E447" s="13">
        <v>1</v>
      </c>
      <c r="F447" s="14">
        <v>11712</v>
      </c>
      <c r="G447" s="14">
        <v>11712</v>
      </c>
      <c r="H447" s="13" t="s">
        <v>33</v>
      </c>
      <c r="I447" s="13" t="s">
        <v>34</v>
      </c>
    </row>
    <row r="448" spans="1:9" x14ac:dyDescent="0.3">
      <c r="A448" s="12">
        <v>45762</v>
      </c>
      <c r="B448" s="13" t="s">
        <v>23</v>
      </c>
      <c r="C448" s="13" t="s">
        <v>19</v>
      </c>
      <c r="D448" s="13" t="s">
        <v>27</v>
      </c>
      <c r="E448" s="13">
        <v>4</v>
      </c>
      <c r="F448" s="14">
        <v>17693</v>
      </c>
      <c r="G448" s="14">
        <v>70772</v>
      </c>
      <c r="H448" s="13" t="s">
        <v>33</v>
      </c>
      <c r="I448" s="13" t="s">
        <v>34</v>
      </c>
    </row>
    <row r="449" spans="1:9" x14ac:dyDescent="0.3">
      <c r="A449" s="12">
        <v>45762</v>
      </c>
      <c r="B449" s="13" t="s">
        <v>23</v>
      </c>
      <c r="C449" s="13" t="s">
        <v>22</v>
      </c>
      <c r="D449" s="13" t="s">
        <v>16</v>
      </c>
      <c r="E449" s="13">
        <v>8</v>
      </c>
      <c r="F449" s="14">
        <v>8040</v>
      </c>
      <c r="G449" s="14">
        <v>64320</v>
      </c>
      <c r="H449" s="13" t="s">
        <v>33</v>
      </c>
      <c r="I449" s="13" t="s">
        <v>34</v>
      </c>
    </row>
    <row r="450" spans="1:9" x14ac:dyDescent="0.3">
      <c r="A450" s="12">
        <v>45763</v>
      </c>
      <c r="B450" s="13" t="s">
        <v>20</v>
      </c>
      <c r="C450" s="13" t="s">
        <v>21</v>
      </c>
      <c r="D450" s="13" t="s">
        <v>24</v>
      </c>
      <c r="E450" s="13">
        <v>8</v>
      </c>
      <c r="F450" s="14">
        <v>3383</v>
      </c>
      <c r="G450" s="14">
        <v>27064</v>
      </c>
      <c r="H450" s="13" t="s">
        <v>33</v>
      </c>
      <c r="I450" s="13" t="s">
        <v>34</v>
      </c>
    </row>
    <row r="451" spans="1:9" x14ac:dyDescent="0.3">
      <c r="A451" s="12">
        <v>45763</v>
      </c>
      <c r="B451" s="13" t="s">
        <v>20</v>
      </c>
      <c r="C451" s="13" t="s">
        <v>15</v>
      </c>
      <c r="D451" s="13" t="s">
        <v>27</v>
      </c>
      <c r="E451" s="13">
        <v>9</v>
      </c>
      <c r="F451" s="14">
        <v>21974</v>
      </c>
      <c r="G451" s="14">
        <v>197766</v>
      </c>
      <c r="H451" s="13" t="s">
        <v>33</v>
      </c>
      <c r="I451" s="13" t="s">
        <v>34</v>
      </c>
    </row>
    <row r="452" spans="1:9" x14ac:dyDescent="0.3">
      <c r="A452" s="12">
        <v>45763</v>
      </c>
      <c r="B452" s="13" t="s">
        <v>9</v>
      </c>
      <c r="C452" s="13" t="s">
        <v>22</v>
      </c>
      <c r="D452" s="13" t="s">
        <v>28</v>
      </c>
      <c r="E452" s="13">
        <v>2</v>
      </c>
      <c r="F452" s="14">
        <v>8356</v>
      </c>
      <c r="G452" s="14">
        <v>16712</v>
      </c>
      <c r="H452" s="13" t="s">
        <v>33</v>
      </c>
      <c r="I452" s="13" t="s">
        <v>34</v>
      </c>
    </row>
    <row r="453" spans="1:9" x14ac:dyDescent="0.3">
      <c r="A453" s="12">
        <v>45763</v>
      </c>
      <c r="B453" s="13" t="s">
        <v>9</v>
      </c>
      <c r="C453" s="13" t="s">
        <v>25</v>
      </c>
      <c r="D453" s="13" t="s">
        <v>18</v>
      </c>
      <c r="E453" s="13">
        <v>3</v>
      </c>
      <c r="F453" s="14">
        <v>56883</v>
      </c>
      <c r="G453" s="14">
        <v>170649</v>
      </c>
      <c r="H453" s="13" t="s">
        <v>33</v>
      </c>
      <c r="I453" s="13" t="s">
        <v>34</v>
      </c>
    </row>
    <row r="454" spans="1:9" x14ac:dyDescent="0.3">
      <c r="A454" s="12">
        <v>45764</v>
      </c>
      <c r="B454" s="13" t="s">
        <v>9</v>
      </c>
      <c r="C454" s="13" t="s">
        <v>10</v>
      </c>
      <c r="D454" s="13" t="s">
        <v>27</v>
      </c>
      <c r="E454" s="13">
        <v>1</v>
      </c>
      <c r="F454" s="14">
        <v>11662</v>
      </c>
      <c r="G454" s="14">
        <v>11662</v>
      </c>
      <c r="H454" s="13" t="s">
        <v>33</v>
      </c>
      <c r="I454" s="13" t="s">
        <v>34</v>
      </c>
    </row>
    <row r="455" spans="1:9" x14ac:dyDescent="0.3">
      <c r="A455" s="12">
        <v>45764</v>
      </c>
      <c r="B455" s="13" t="s">
        <v>23</v>
      </c>
      <c r="C455" s="13" t="s">
        <v>19</v>
      </c>
      <c r="D455" s="13" t="s">
        <v>28</v>
      </c>
      <c r="E455" s="13">
        <v>10</v>
      </c>
      <c r="F455" s="14">
        <v>18247</v>
      </c>
      <c r="G455" s="14">
        <v>182470</v>
      </c>
      <c r="H455" s="13" t="s">
        <v>33</v>
      </c>
      <c r="I455" s="13" t="s">
        <v>34</v>
      </c>
    </row>
    <row r="456" spans="1:9" x14ac:dyDescent="0.3">
      <c r="A456" s="12">
        <v>45764</v>
      </c>
      <c r="B456" s="13" t="s">
        <v>23</v>
      </c>
      <c r="C456" s="13" t="s">
        <v>10</v>
      </c>
      <c r="D456" s="13" t="s">
        <v>24</v>
      </c>
      <c r="E456" s="13">
        <v>1</v>
      </c>
      <c r="F456" s="14">
        <v>11407</v>
      </c>
      <c r="G456" s="14">
        <v>11407</v>
      </c>
      <c r="H456" s="13" t="s">
        <v>33</v>
      </c>
      <c r="I456" s="13" t="s">
        <v>34</v>
      </c>
    </row>
    <row r="457" spans="1:9" x14ac:dyDescent="0.3">
      <c r="A457" s="12">
        <v>45765</v>
      </c>
      <c r="B457" s="13" t="s">
        <v>23</v>
      </c>
      <c r="C457" s="13" t="s">
        <v>25</v>
      </c>
      <c r="D457" s="13" t="s">
        <v>28</v>
      </c>
      <c r="E457" s="13">
        <v>9</v>
      </c>
      <c r="F457" s="14">
        <v>56222</v>
      </c>
      <c r="G457" s="14">
        <v>505998</v>
      </c>
      <c r="H457" s="13" t="s">
        <v>33</v>
      </c>
      <c r="I457" s="13" t="s">
        <v>34</v>
      </c>
    </row>
    <row r="458" spans="1:9" x14ac:dyDescent="0.3">
      <c r="A458" s="12">
        <v>45765</v>
      </c>
      <c r="B458" s="13" t="s">
        <v>20</v>
      </c>
      <c r="C458" s="13" t="s">
        <v>25</v>
      </c>
      <c r="D458" s="13" t="s">
        <v>18</v>
      </c>
      <c r="E458" s="13">
        <v>3</v>
      </c>
      <c r="F458" s="14">
        <v>52838</v>
      </c>
      <c r="G458" s="14">
        <v>158514</v>
      </c>
      <c r="H458" s="13" t="s">
        <v>33</v>
      </c>
      <c r="I458" s="13" t="s">
        <v>34</v>
      </c>
    </row>
    <row r="459" spans="1:9" x14ac:dyDescent="0.3">
      <c r="A459" s="12">
        <v>45765</v>
      </c>
      <c r="B459" s="13" t="s">
        <v>9</v>
      </c>
      <c r="C459" s="13" t="s">
        <v>22</v>
      </c>
      <c r="D459" s="13" t="s">
        <v>27</v>
      </c>
      <c r="E459" s="13">
        <v>4</v>
      </c>
      <c r="F459" s="14">
        <v>7753</v>
      </c>
      <c r="G459" s="14">
        <v>31012</v>
      </c>
      <c r="H459" s="13" t="s">
        <v>33</v>
      </c>
      <c r="I459" s="13" t="s">
        <v>34</v>
      </c>
    </row>
    <row r="460" spans="1:9" x14ac:dyDescent="0.3">
      <c r="A460" s="12">
        <v>45765</v>
      </c>
      <c r="B460" s="13" t="s">
        <v>20</v>
      </c>
      <c r="C460" s="13" t="s">
        <v>19</v>
      </c>
      <c r="D460" s="13" t="s">
        <v>11</v>
      </c>
      <c r="E460" s="13">
        <v>7</v>
      </c>
      <c r="F460" s="14">
        <v>17242</v>
      </c>
      <c r="G460" s="14">
        <v>120694</v>
      </c>
      <c r="H460" s="13" t="s">
        <v>33</v>
      </c>
      <c r="I460" s="13" t="s">
        <v>34</v>
      </c>
    </row>
    <row r="461" spans="1:9" x14ac:dyDescent="0.3">
      <c r="A461" s="12">
        <v>45765</v>
      </c>
      <c r="B461" s="13" t="s">
        <v>23</v>
      </c>
      <c r="C461" s="13" t="s">
        <v>21</v>
      </c>
      <c r="D461" s="13" t="s">
        <v>16</v>
      </c>
      <c r="E461" s="13">
        <v>4</v>
      </c>
      <c r="F461" s="14">
        <v>3429</v>
      </c>
      <c r="G461" s="14">
        <v>13716</v>
      </c>
      <c r="H461" s="13" t="s">
        <v>33</v>
      </c>
      <c r="I461" s="13" t="s">
        <v>34</v>
      </c>
    </row>
    <row r="462" spans="1:9" x14ac:dyDescent="0.3">
      <c r="A462" s="12">
        <v>45765</v>
      </c>
      <c r="B462" s="13" t="s">
        <v>9</v>
      </c>
      <c r="C462" s="13" t="s">
        <v>10</v>
      </c>
      <c r="D462" s="13" t="s">
        <v>28</v>
      </c>
      <c r="E462" s="13">
        <v>2</v>
      </c>
      <c r="F462" s="14">
        <v>11886</v>
      </c>
      <c r="G462" s="14">
        <v>23772</v>
      </c>
      <c r="H462" s="13" t="s">
        <v>33</v>
      </c>
      <c r="I462" s="13" t="s">
        <v>34</v>
      </c>
    </row>
    <row r="463" spans="1:9" x14ac:dyDescent="0.3">
      <c r="A463" s="12">
        <v>45766</v>
      </c>
      <c r="B463" s="13" t="s">
        <v>23</v>
      </c>
      <c r="C463" s="13" t="s">
        <v>25</v>
      </c>
      <c r="D463" s="13" t="s">
        <v>28</v>
      </c>
      <c r="E463" s="13">
        <v>3</v>
      </c>
      <c r="F463" s="14">
        <v>52704</v>
      </c>
      <c r="G463" s="14">
        <v>158112</v>
      </c>
      <c r="H463" s="13" t="s">
        <v>33</v>
      </c>
      <c r="I463" s="13" t="s">
        <v>34</v>
      </c>
    </row>
    <row r="464" spans="1:9" x14ac:dyDescent="0.3">
      <c r="A464" s="12">
        <v>45766</v>
      </c>
      <c r="B464" s="13" t="s">
        <v>23</v>
      </c>
      <c r="C464" s="13" t="s">
        <v>10</v>
      </c>
      <c r="D464" s="13" t="s">
        <v>26</v>
      </c>
      <c r="E464" s="13">
        <v>10</v>
      </c>
      <c r="F464" s="14">
        <v>12572</v>
      </c>
      <c r="G464" s="14">
        <v>125720</v>
      </c>
      <c r="H464" s="13" t="s">
        <v>33</v>
      </c>
      <c r="I464" s="13" t="s">
        <v>34</v>
      </c>
    </row>
    <row r="465" spans="1:9" x14ac:dyDescent="0.3">
      <c r="A465" s="12">
        <v>45766</v>
      </c>
      <c r="B465" s="13" t="s">
        <v>9</v>
      </c>
      <c r="C465" s="13" t="s">
        <v>22</v>
      </c>
      <c r="D465" s="13" t="s">
        <v>28</v>
      </c>
      <c r="E465" s="13">
        <v>4</v>
      </c>
      <c r="F465" s="14">
        <v>7769</v>
      </c>
      <c r="G465" s="14">
        <v>31076</v>
      </c>
      <c r="H465" s="13" t="s">
        <v>33</v>
      </c>
      <c r="I465" s="13" t="s">
        <v>34</v>
      </c>
    </row>
    <row r="466" spans="1:9" x14ac:dyDescent="0.3">
      <c r="A466" s="12">
        <v>45766</v>
      </c>
      <c r="B466" s="13" t="s">
        <v>23</v>
      </c>
      <c r="C466" s="13" t="s">
        <v>19</v>
      </c>
      <c r="D466" s="13" t="s">
        <v>28</v>
      </c>
      <c r="E466" s="13">
        <v>2</v>
      </c>
      <c r="F466" s="14">
        <v>18331</v>
      </c>
      <c r="G466" s="14">
        <v>36662</v>
      </c>
      <c r="H466" s="13" t="s">
        <v>33</v>
      </c>
      <c r="I466" s="13" t="s">
        <v>34</v>
      </c>
    </row>
    <row r="467" spans="1:9" x14ac:dyDescent="0.3">
      <c r="A467" s="12">
        <v>45766</v>
      </c>
      <c r="B467" s="13" t="s">
        <v>20</v>
      </c>
      <c r="C467" s="13" t="s">
        <v>22</v>
      </c>
      <c r="D467" s="13" t="s">
        <v>28</v>
      </c>
      <c r="E467" s="13">
        <v>3</v>
      </c>
      <c r="F467" s="14">
        <v>8343</v>
      </c>
      <c r="G467" s="14">
        <v>25029</v>
      </c>
      <c r="H467" s="13" t="s">
        <v>33</v>
      </c>
      <c r="I467" s="13" t="s">
        <v>34</v>
      </c>
    </row>
    <row r="468" spans="1:9" x14ac:dyDescent="0.3">
      <c r="A468" s="12">
        <v>45767</v>
      </c>
      <c r="B468" s="13" t="s">
        <v>9</v>
      </c>
      <c r="C468" s="13" t="s">
        <v>15</v>
      </c>
      <c r="D468" s="13" t="s">
        <v>27</v>
      </c>
      <c r="E468" s="13">
        <v>7</v>
      </c>
      <c r="F468" s="14">
        <v>22943</v>
      </c>
      <c r="G468" s="14">
        <v>160601</v>
      </c>
      <c r="H468" s="13" t="s">
        <v>33</v>
      </c>
      <c r="I468" s="13" t="s">
        <v>34</v>
      </c>
    </row>
    <row r="469" spans="1:9" x14ac:dyDescent="0.3">
      <c r="A469" s="12">
        <v>45767</v>
      </c>
      <c r="B469" s="13" t="s">
        <v>20</v>
      </c>
      <c r="C469" s="13" t="s">
        <v>15</v>
      </c>
      <c r="D469" s="13" t="s">
        <v>16</v>
      </c>
      <c r="E469" s="13">
        <v>10</v>
      </c>
      <c r="F469" s="14">
        <v>22736</v>
      </c>
      <c r="G469" s="14">
        <v>227360</v>
      </c>
      <c r="H469" s="13" t="s">
        <v>33</v>
      </c>
      <c r="I469" s="13" t="s">
        <v>34</v>
      </c>
    </row>
    <row r="470" spans="1:9" x14ac:dyDescent="0.3">
      <c r="A470" s="12">
        <v>45767</v>
      </c>
      <c r="B470" s="13" t="s">
        <v>23</v>
      </c>
      <c r="C470" s="13" t="s">
        <v>10</v>
      </c>
      <c r="D470" s="13" t="s">
        <v>26</v>
      </c>
      <c r="E470" s="13">
        <v>7</v>
      </c>
      <c r="F470" s="14">
        <v>12306</v>
      </c>
      <c r="G470" s="14">
        <v>86142</v>
      </c>
      <c r="H470" s="13" t="s">
        <v>33</v>
      </c>
      <c r="I470" s="13" t="s">
        <v>34</v>
      </c>
    </row>
    <row r="471" spans="1:9" x14ac:dyDescent="0.3">
      <c r="A471" s="12">
        <v>45767</v>
      </c>
      <c r="B471" s="13" t="s">
        <v>17</v>
      </c>
      <c r="C471" s="13" t="s">
        <v>10</v>
      </c>
      <c r="D471" s="13" t="s">
        <v>14</v>
      </c>
      <c r="E471" s="13">
        <v>9</v>
      </c>
      <c r="F471" s="14">
        <v>12294</v>
      </c>
      <c r="G471" s="14">
        <v>110646</v>
      </c>
      <c r="H471" s="13" t="s">
        <v>33</v>
      </c>
      <c r="I471" s="13" t="s">
        <v>34</v>
      </c>
    </row>
    <row r="472" spans="1:9" x14ac:dyDescent="0.3">
      <c r="A472" s="12">
        <v>45768</v>
      </c>
      <c r="B472" s="13" t="s">
        <v>9</v>
      </c>
      <c r="C472" s="13" t="s">
        <v>25</v>
      </c>
      <c r="D472" s="13" t="s">
        <v>18</v>
      </c>
      <c r="E472" s="13">
        <v>4</v>
      </c>
      <c r="F472" s="14">
        <v>56862</v>
      </c>
      <c r="G472" s="14">
        <v>227448</v>
      </c>
      <c r="H472" s="13" t="s">
        <v>33</v>
      </c>
      <c r="I472" s="13" t="s">
        <v>34</v>
      </c>
    </row>
    <row r="473" spans="1:9" x14ac:dyDescent="0.3">
      <c r="A473" s="12">
        <v>45768</v>
      </c>
      <c r="B473" s="13" t="s">
        <v>20</v>
      </c>
      <c r="C473" s="13" t="s">
        <v>22</v>
      </c>
      <c r="D473" s="13" t="s">
        <v>18</v>
      </c>
      <c r="E473" s="13">
        <v>6</v>
      </c>
      <c r="F473" s="14">
        <v>7623</v>
      </c>
      <c r="G473" s="14">
        <v>45738</v>
      </c>
      <c r="H473" s="13" t="s">
        <v>33</v>
      </c>
      <c r="I473" s="13" t="s">
        <v>34</v>
      </c>
    </row>
    <row r="474" spans="1:9" x14ac:dyDescent="0.3">
      <c r="A474" s="12">
        <v>45768</v>
      </c>
      <c r="B474" s="13" t="s">
        <v>20</v>
      </c>
      <c r="C474" s="13" t="s">
        <v>21</v>
      </c>
      <c r="D474" s="13" t="s">
        <v>24</v>
      </c>
      <c r="E474" s="13">
        <v>4</v>
      </c>
      <c r="F474" s="14">
        <v>3449</v>
      </c>
      <c r="G474" s="14">
        <v>13796</v>
      </c>
      <c r="H474" s="13" t="s">
        <v>33</v>
      </c>
      <c r="I474" s="13" t="s">
        <v>34</v>
      </c>
    </row>
    <row r="475" spans="1:9" x14ac:dyDescent="0.3">
      <c r="A475" s="12">
        <v>45768</v>
      </c>
      <c r="B475" s="13" t="s">
        <v>23</v>
      </c>
      <c r="C475" s="13" t="s">
        <v>21</v>
      </c>
      <c r="D475" s="13" t="s">
        <v>27</v>
      </c>
      <c r="E475" s="13">
        <v>10</v>
      </c>
      <c r="F475" s="14">
        <v>3556</v>
      </c>
      <c r="G475" s="14">
        <v>35560</v>
      </c>
      <c r="H475" s="13" t="s">
        <v>33</v>
      </c>
      <c r="I475" s="13" t="s">
        <v>34</v>
      </c>
    </row>
    <row r="476" spans="1:9" x14ac:dyDescent="0.3">
      <c r="A476" s="12">
        <v>45769</v>
      </c>
      <c r="B476" s="13" t="s">
        <v>20</v>
      </c>
      <c r="C476" s="13" t="s">
        <v>15</v>
      </c>
      <c r="D476" s="13" t="s">
        <v>14</v>
      </c>
      <c r="E476" s="13">
        <v>2</v>
      </c>
      <c r="F476" s="14">
        <v>21489</v>
      </c>
      <c r="G476" s="14">
        <v>42978</v>
      </c>
      <c r="H476" s="13" t="s">
        <v>33</v>
      </c>
      <c r="I476" s="13" t="s">
        <v>34</v>
      </c>
    </row>
    <row r="477" spans="1:9" x14ac:dyDescent="0.3">
      <c r="A477" s="12">
        <v>45769</v>
      </c>
      <c r="B477" s="13" t="s">
        <v>23</v>
      </c>
      <c r="C477" s="13" t="s">
        <v>10</v>
      </c>
      <c r="D477" s="13" t="s">
        <v>27</v>
      </c>
      <c r="E477" s="13">
        <v>7</v>
      </c>
      <c r="F477" s="14">
        <v>11780</v>
      </c>
      <c r="G477" s="14">
        <v>82460</v>
      </c>
      <c r="H477" s="13" t="s">
        <v>33</v>
      </c>
      <c r="I477" s="13" t="s">
        <v>34</v>
      </c>
    </row>
    <row r="478" spans="1:9" x14ac:dyDescent="0.3">
      <c r="A478" s="12">
        <v>45770</v>
      </c>
      <c r="B478" s="13" t="s">
        <v>9</v>
      </c>
      <c r="C478" s="13" t="s">
        <v>25</v>
      </c>
      <c r="D478" s="13" t="s">
        <v>11</v>
      </c>
      <c r="E478" s="13">
        <v>8</v>
      </c>
      <c r="F478" s="14">
        <v>54229</v>
      </c>
      <c r="G478" s="14">
        <v>433832</v>
      </c>
      <c r="H478" s="13" t="s">
        <v>33</v>
      </c>
      <c r="I478" s="13" t="s">
        <v>34</v>
      </c>
    </row>
    <row r="479" spans="1:9" x14ac:dyDescent="0.3">
      <c r="A479" s="12">
        <v>45770</v>
      </c>
      <c r="B479" s="13" t="s">
        <v>20</v>
      </c>
      <c r="C479" s="13" t="s">
        <v>25</v>
      </c>
      <c r="D479" s="13" t="s">
        <v>27</v>
      </c>
      <c r="E479" s="13">
        <v>2</v>
      </c>
      <c r="F479" s="14">
        <v>53280</v>
      </c>
      <c r="G479" s="14">
        <v>106560</v>
      </c>
      <c r="H479" s="13" t="s">
        <v>33</v>
      </c>
      <c r="I479" s="13" t="s">
        <v>34</v>
      </c>
    </row>
    <row r="480" spans="1:9" x14ac:dyDescent="0.3">
      <c r="A480" s="12">
        <v>45771</v>
      </c>
      <c r="B480" s="13" t="s">
        <v>23</v>
      </c>
      <c r="C480" s="13" t="s">
        <v>25</v>
      </c>
      <c r="D480" s="13" t="s">
        <v>28</v>
      </c>
      <c r="E480" s="13">
        <v>2</v>
      </c>
      <c r="F480" s="14">
        <v>54196</v>
      </c>
      <c r="G480" s="14">
        <v>108392</v>
      </c>
      <c r="H480" s="13" t="s">
        <v>33</v>
      </c>
      <c r="I480" s="13" t="s">
        <v>34</v>
      </c>
    </row>
    <row r="481" spans="1:9" x14ac:dyDescent="0.3">
      <c r="A481" s="12">
        <v>45771</v>
      </c>
      <c r="B481" s="13" t="s">
        <v>9</v>
      </c>
      <c r="C481" s="13" t="s">
        <v>22</v>
      </c>
      <c r="D481" s="13" t="s">
        <v>26</v>
      </c>
      <c r="E481" s="13">
        <v>7</v>
      </c>
      <c r="F481" s="14">
        <v>7609</v>
      </c>
      <c r="G481" s="14">
        <v>53263</v>
      </c>
      <c r="H481" s="13" t="s">
        <v>33</v>
      </c>
      <c r="I481" s="13" t="s">
        <v>34</v>
      </c>
    </row>
    <row r="482" spans="1:9" x14ac:dyDescent="0.3">
      <c r="A482" s="12">
        <v>45771</v>
      </c>
      <c r="B482" s="13" t="s">
        <v>23</v>
      </c>
      <c r="C482" s="13" t="s">
        <v>21</v>
      </c>
      <c r="D482" s="13" t="s">
        <v>14</v>
      </c>
      <c r="E482" s="13">
        <v>9</v>
      </c>
      <c r="F482" s="14">
        <v>3641</v>
      </c>
      <c r="G482" s="14">
        <v>32769</v>
      </c>
      <c r="H482" s="13" t="s">
        <v>33</v>
      </c>
      <c r="I482" s="13" t="s">
        <v>34</v>
      </c>
    </row>
    <row r="483" spans="1:9" x14ac:dyDescent="0.3">
      <c r="A483" s="12">
        <v>45771</v>
      </c>
      <c r="B483" s="13" t="s">
        <v>17</v>
      </c>
      <c r="C483" s="13" t="s">
        <v>22</v>
      </c>
      <c r="D483" s="13" t="s">
        <v>27</v>
      </c>
      <c r="E483" s="13">
        <v>7</v>
      </c>
      <c r="F483" s="14">
        <v>7735</v>
      </c>
      <c r="G483" s="14">
        <v>54145</v>
      </c>
      <c r="H483" s="13" t="s">
        <v>33</v>
      </c>
      <c r="I483" s="13" t="s">
        <v>34</v>
      </c>
    </row>
    <row r="484" spans="1:9" x14ac:dyDescent="0.3">
      <c r="A484" s="12">
        <v>45771</v>
      </c>
      <c r="B484" s="13" t="s">
        <v>20</v>
      </c>
      <c r="C484" s="13" t="s">
        <v>19</v>
      </c>
      <c r="D484" s="13" t="s">
        <v>11</v>
      </c>
      <c r="E484" s="13">
        <v>8</v>
      </c>
      <c r="F484" s="14">
        <v>17362</v>
      </c>
      <c r="G484" s="14">
        <v>138896</v>
      </c>
      <c r="H484" s="13" t="s">
        <v>33</v>
      </c>
      <c r="I484" s="13" t="s">
        <v>34</v>
      </c>
    </row>
    <row r="485" spans="1:9" x14ac:dyDescent="0.3">
      <c r="A485" s="12">
        <v>45772</v>
      </c>
      <c r="B485" s="13" t="s">
        <v>23</v>
      </c>
      <c r="C485" s="13" t="s">
        <v>19</v>
      </c>
      <c r="D485" s="13" t="s">
        <v>18</v>
      </c>
      <c r="E485" s="13">
        <v>5</v>
      </c>
      <c r="F485" s="14">
        <v>17971</v>
      </c>
      <c r="G485" s="14">
        <v>89855</v>
      </c>
      <c r="H485" s="13" t="s">
        <v>33</v>
      </c>
      <c r="I485" s="13" t="s">
        <v>34</v>
      </c>
    </row>
    <row r="486" spans="1:9" x14ac:dyDescent="0.3">
      <c r="A486" s="12">
        <v>45772</v>
      </c>
      <c r="B486" s="13" t="s">
        <v>9</v>
      </c>
      <c r="C486" s="13" t="s">
        <v>19</v>
      </c>
      <c r="D486" s="13" t="s">
        <v>11</v>
      </c>
      <c r="E486" s="13">
        <v>4</v>
      </c>
      <c r="F486" s="14">
        <v>18397</v>
      </c>
      <c r="G486" s="14">
        <v>73588</v>
      </c>
      <c r="H486" s="13" t="s">
        <v>33</v>
      </c>
      <c r="I486" s="13" t="s">
        <v>34</v>
      </c>
    </row>
    <row r="487" spans="1:9" x14ac:dyDescent="0.3">
      <c r="A487" s="12">
        <v>45772</v>
      </c>
      <c r="B487" s="13" t="s">
        <v>23</v>
      </c>
      <c r="C487" s="13" t="s">
        <v>22</v>
      </c>
      <c r="D487" s="13" t="s">
        <v>16</v>
      </c>
      <c r="E487" s="13">
        <v>8</v>
      </c>
      <c r="F487" s="14">
        <v>7685</v>
      </c>
      <c r="G487" s="14">
        <v>61480</v>
      </c>
      <c r="H487" s="13" t="s">
        <v>33</v>
      </c>
      <c r="I487" s="13" t="s">
        <v>34</v>
      </c>
    </row>
    <row r="488" spans="1:9" x14ac:dyDescent="0.3">
      <c r="A488" s="12">
        <v>45773</v>
      </c>
      <c r="B488" s="13" t="s">
        <v>9</v>
      </c>
      <c r="C488" s="13" t="s">
        <v>21</v>
      </c>
      <c r="D488" s="13" t="s">
        <v>26</v>
      </c>
      <c r="E488" s="13">
        <v>10</v>
      </c>
      <c r="F488" s="14">
        <v>3457</v>
      </c>
      <c r="G488" s="14">
        <v>34570</v>
      </c>
      <c r="H488" s="13" t="s">
        <v>33</v>
      </c>
      <c r="I488" s="13" t="s">
        <v>34</v>
      </c>
    </row>
    <row r="489" spans="1:9" x14ac:dyDescent="0.3">
      <c r="A489" s="12">
        <v>45773</v>
      </c>
      <c r="B489" s="13" t="s">
        <v>20</v>
      </c>
      <c r="C489" s="13" t="s">
        <v>21</v>
      </c>
      <c r="D489" s="13" t="s">
        <v>26</v>
      </c>
      <c r="E489" s="13">
        <v>7</v>
      </c>
      <c r="F489" s="14">
        <v>3610</v>
      </c>
      <c r="G489" s="14">
        <v>25270</v>
      </c>
      <c r="H489" s="13" t="s">
        <v>33</v>
      </c>
      <c r="I489" s="13" t="s">
        <v>34</v>
      </c>
    </row>
    <row r="490" spans="1:9" x14ac:dyDescent="0.3">
      <c r="A490" s="12">
        <v>45773</v>
      </c>
      <c r="B490" s="13" t="s">
        <v>17</v>
      </c>
      <c r="C490" s="13" t="s">
        <v>19</v>
      </c>
      <c r="D490" s="13" t="s">
        <v>26</v>
      </c>
      <c r="E490" s="13">
        <v>10</v>
      </c>
      <c r="F490" s="14">
        <v>18805</v>
      </c>
      <c r="G490" s="14">
        <v>188050</v>
      </c>
      <c r="H490" s="13" t="s">
        <v>33</v>
      </c>
      <c r="I490" s="13" t="s">
        <v>34</v>
      </c>
    </row>
    <row r="491" spans="1:9" x14ac:dyDescent="0.3">
      <c r="A491" s="12">
        <v>45773</v>
      </c>
      <c r="B491" s="13" t="s">
        <v>17</v>
      </c>
      <c r="C491" s="13" t="s">
        <v>21</v>
      </c>
      <c r="D491" s="13" t="s">
        <v>26</v>
      </c>
      <c r="E491" s="13">
        <v>3</v>
      </c>
      <c r="F491" s="14">
        <v>3662</v>
      </c>
      <c r="G491" s="14">
        <v>10986</v>
      </c>
      <c r="H491" s="13" t="s">
        <v>33</v>
      </c>
      <c r="I491" s="13" t="s">
        <v>34</v>
      </c>
    </row>
    <row r="492" spans="1:9" x14ac:dyDescent="0.3">
      <c r="A492" s="12">
        <v>45774</v>
      </c>
      <c r="B492" s="13" t="s">
        <v>20</v>
      </c>
      <c r="C492" s="13" t="s">
        <v>10</v>
      </c>
      <c r="D492" s="13" t="s">
        <v>24</v>
      </c>
      <c r="E492" s="13">
        <v>10</v>
      </c>
      <c r="F492" s="14">
        <v>12338</v>
      </c>
      <c r="G492" s="14">
        <v>123380</v>
      </c>
      <c r="H492" s="13" t="s">
        <v>33</v>
      </c>
      <c r="I492" s="13" t="s">
        <v>34</v>
      </c>
    </row>
    <row r="493" spans="1:9" x14ac:dyDescent="0.3">
      <c r="A493" s="12">
        <v>45774</v>
      </c>
      <c r="B493" s="13" t="s">
        <v>20</v>
      </c>
      <c r="C493" s="13" t="s">
        <v>21</v>
      </c>
      <c r="D493" s="13" t="s">
        <v>11</v>
      </c>
      <c r="E493" s="13">
        <v>7</v>
      </c>
      <c r="F493" s="14">
        <v>3452</v>
      </c>
      <c r="G493" s="14">
        <v>24164</v>
      </c>
      <c r="H493" s="13" t="s">
        <v>33</v>
      </c>
      <c r="I493" s="13" t="s">
        <v>34</v>
      </c>
    </row>
    <row r="494" spans="1:9" x14ac:dyDescent="0.3">
      <c r="A494" s="12">
        <v>45774</v>
      </c>
      <c r="B494" s="13" t="s">
        <v>17</v>
      </c>
      <c r="C494" s="13" t="s">
        <v>22</v>
      </c>
      <c r="D494" s="13" t="s">
        <v>27</v>
      </c>
      <c r="E494" s="13">
        <v>9</v>
      </c>
      <c r="F494" s="14">
        <v>7621</v>
      </c>
      <c r="G494" s="14">
        <v>68589</v>
      </c>
      <c r="H494" s="13" t="s">
        <v>33</v>
      </c>
      <c r="I494" s="13" t="s">
        <v>34</v>
      </c>
    </row>
    <row r="495" spans="1:9" x14ac:dyDescent="0.3">
      <c r="A495" s="12">
        <v>45774</v>
      </c>
      <c r="B495" s="13" t="s">
        <v>23</v>
      </c>
      <c r="C495" s="13" t="s">
        <v>10</v>
      </c>
      <c r="D495" s="13" t="s">
        <v>16</v>
      </c>
      <c r="E495" s="13">
        <v>8</v>
      </c>
      <c r="F495" s="14">
        <v>12357</v>
      </c>
      <c r="G495" s="14">
        <v>98856</v>
      </c>
      <c r="H495" s="13" t="s">
        <v>33</v>
      </c>
      <c r="I495" s="13" t="s">
        <v>34</v>
      </c>
    </row>
    <row r="496" spans="1:9" x14ac:dyDescent="0.3">
      <c r="A496" s="12">
        <v>45775</v>
      </c>
      <c r="B496" s="13" t="s">
        <v>23</v>
      </c>
      <c r="C496" s="13" t="s">
        <v>10</v>
      </c>
      <c r="D496" s="13" t="s">
        <v>24</v>
      </c>
      <c r="E496" s="13">
        <v>3</v>
      </c>
      <c r="F496" s="14">
        <v>12160</v>
      </c>
      <c r="G496" s="14">
        <v>36480</v>
      </c>
      <c r="H496" s="13" t="s">
        <v>33</v>
      </c>
      <c r="I496" s="13" t="s">
        <v>34</v>
      </c>
    </row>
    <row r="497" spans="1:9" x14ac:dyDescent="0.3">
      <c r="A497" s="12">
        <v>45775</v>
      </c>
      <c r="B497" s="13" t="s">
        <v>17</v>
      </c>
      <c r="C497" s="13" t="s">
        <v>19</v>
      </c>
      <c r="D497" s="13" t="s">
        <v>27</v>
      </c>
      <c r="E497" s="13">
        <v>7</v>
      </c>
      <c r="F497" s="14">
        <v>18520</v>
      </c>
      <c r="G497" s="14">
        <v>129640</v>
      </c>
      <c r="H497" s="13" t="s">
        <v>33</v>
      </c>
      <c r="I497" s="13" t="s">
        <v>34</v>
      </c>
    </row>
    <row r="498" spans="1:9" x14ac:dyDescent="0.3">
      <c r="A498" s="12">
        <v>45776</v>
      </c>
      <c r="B498" s="13" t="s">
        <v>23</v>
      </c>
      <c r="C498" s="13" t="s">
        <v>22</v>
      </c>
      <c r="D498" s="13" t="s">
        <v>24</v>
      </c>
      <c r="E498" s="13">
        <v>10</v>
      </c>
      <c r="F498" s="14">
        <v>7920</v>
      </c>
      <c r="G498" s="14">
        <v>79200</v>
      </c>
      <c r="H498" s="13" t="s">
        <v>33</v>
      </c>
      <c r="I498" s="13" t="s">
        <v>34</v>
      </c>
    </row>
    <row r="499" spans="1:9" x14ac:dyDescent="0.3">
      <c r="A499" s="12">
        <v>45776</v>
      </c>
      <c r="B499" s="13" t="s">
        <v>23</v>
      </c>
      <c r="C499" s="13" t="s">
        <v>22</v>
      </c>
      <c r="D499" s="13" t="s">
        <v>28</v>
      </c>
      <c r="E499" s="13">
        <v>6</v>
      </c>
      <c r="F499" s="14">
        <v>8161</v>
      </c>
      <c r="G499" s="14">
        <v>48966</v>
      </c>
      <c r="H499" s="13" t="s">
        <v>33</v>
      </c>
      <c r="I499" s="13" t="s">
        <v>34</v>
      </c>
    </row>
    <row r="500" spans="1:9" x14ac:dyDescent="0.3">
      <c r="A500" s="12">
        <v>45777</v>
      </c>
      <c r="B500" s="13" t="s">
        <v>9</v>
      </c>
      <c r="C500" s="13" t="s">
        <v>25</v>
      </c>
      <c r="D500" s="13" t="s">
        <v>16</v>
      </c>
      <c r="E500" s="13">
        <v>6</v>
      </c>
      <c r="F500" s="14">
        <v>53164</v>
      </c>
      <c r="G500" s="14">
        <v>318984</v>
      </c>
      <c r="H500" s="13" t="s">
        <v>33</v>
      </c>
      <c r="I500" s="13" t="s">
        <v>34</v>
      </c>
    </row>
    <row r="501" spans="1:9" x14ac:dyDescent="0.3">
      <c r="A501" s="12">
        <v>45777</v>
      </c>
      <c r="B501" s="13" t="s">
        <v>9</v>
      </c>
      <c r="C501" s="13" t="s">
        <v>22</v>
      </c>
      <c r="D501" s="13" t="s">
        <v>18</v>
      </c>
      <c r="E501" s="13">
        <v>6</v>
      </c>
      <c r="F501" s="14">
        <v>8372</v>
      </c>
      <c r="G501" s="14">
        <v>50232</v>
      </c>
      <c r="H501" s="13" t="s">
        <v>33</v>
      </c>
      <c r="I501" s="13" t="s">
        <v>34</v>
      </c>
    </row>
    <row r="502" spans="1:9" x14ac:dyDescent="0.3">
      <c r="A502" s="12">
        <v>45777</v>
      </c>
      <c r="B502" s="13" t="s">
        <v>23</v>
      </c>
      <c r="C502" s="13" t="s">
        <v>25</v>
      </c>
      <c r="D502" s="13" t="s">
        <v>28</v>
      </c>
      <c r="E502" s="13">
        <v>2</v>
      </c>
      <c r="F502" s="14">
        <v>53673</v>
      </c>
      <c r="G502" s="14">
        <v>107346</v>
      </c>
      <c r="H502" s="13" t="s">
        <v>33</v>
      </c>
      <c r="I502" s="13" t="s">
        <v>34</v>
      </c>
    </row>
    <row r="503" spans="1:9" x14ac:dyDescent="0.3">
      <c r="A503" s="12">
        <v>45777</v>
      </c>
      <c r="B503" s="13" t="s">
        <v>17</v>
      </c>
      <c r="C503" s="13" t="s">
        <v>21</v>
      </c>
      <c r="D503" s="13" t="s">
        <v>26</v>
      </c>
      <c r="E503" s="13">
        <v>7</v>
      </c>
      <c r="F503" s="14">
        <v>3487</v>
      </c>
      <c r="G503" s="14">
        <v>24409</v>
      </c>
      <c r="H503" s="13" t="s">
        <v>33</v>
      </c>
      <c r="I503" s="13" t="s">
        <v>34</v>
      </c>
    </row>
    <row r="504" spans="1:9" x14ac:dyDescent="0.3">
      <c r="A504" s="12">
        <v>45777</v>
      </c>
      <c r="B504" s="13" t="s">
        <v>17</v>
      </c>
      <c r="C504" s="13" t="s">
        <v>19</v>
      </c>
      <c r="D504" s="13" t="s">
        <v>28</v>
      </c>
      <c r="E504" s="13">
        <v>8</v>
      </c>
      <c r="F504" s="14">
        <v>17288</v>
      </c>
      <c r="G504" s="14">
        <v>138304</v>
      </c>
      <c r="H504" s="13" t="s">
        <v>33</v>
      </c>
      <c r="I504" s="13" t="s">
        <v>34</v>
      </c>
    </row>
    <row r="505" spans="1:9" x14ac:dyDescent="0.3">
      <c r="A505" s="12">
        <v>45777</v>
      </c>
      <c r="B505" s="13" t="s">
        <v>23</v>
      </c>
      <c r="C505" s="13" t="s">
        <v>25</v>
      </c>
      <c r="D505" s="13" t="s">
        <v>14</v>
      </c>
      <c r="E505" s="13">
        <v>3</v>
      </c>
      <c r="F505" s="14">
        <v>54165</v>
      </c>
      <c r="G505" s="14">
        <v>162495</v>
      </c>
      <c r="H505" s="13" t="s">
        <v>33</v>
      </c>
      <c r="I505" s="13" t="s">
        <v>34</v>
      </c>
    </row>
    <row r="506" spans="1:9" x14ac:dyDescent="0.3">
      <c r="A506" s="12">
        <v>45778</v>
      </c>
      <c r="B506" s="13" t="s">
        <v>23</v>
      </c>
      <c r="C506" s="13" t="s">
        <v>15</v>
      </c>
      <c r="D506" s="13" t="s">
        <v>24</v>
      </c>
      <c r="E506" s="13">
        <v>6</v>
      </c>
      <c r="F506" s="14">
        <v>21947</v>
      </c>
      <c r="G506" s="14">
        <v>131682</v>
      </c>
      <c r="H506" s="13" t="s">
        <v>35</v>
      </c>
      <c r="I506" s="13" t="s">
        <v>36</v>
      </c>
    </row>
    <row r="507" spans="1:9" x14ac:dyDescent="0.3">
      <c r="A507" s="12">
        <v>45778</v>
      </c>
      <c r="B507" s="13" t="s">
        <v>23</v>
      </c>
      <c r="C507" s="13" t="s">
        <v>10</v>
      </c>
      <c r="D507" s="13" t="s">
        <v>24</v>
      </c>
      <c r="E507" s="13">
        <v>6</v>
      </c>
      <c r="F507" s="14">
        <v>11480</v>
      </c>
      <c r="G507" s="14">
        <v>68880</v>
      </c>
      <c r="H507" s="13" t="s">
        <v>35</v>
      </c>
      <c r="I507" s="13" t="s">
        <v>36</v>
      </c>
    </row>
    <row r="508" spans="1:9" x14ac:dyDescent="0.3">
      <c r="A508" s="12">
        <v>45778</v>
      </c>
      <c r="B508" s="13" t="s">
        <v>9</v>
      </c>
      <c r="C508" s="13" t="s">
        <v>10</v>
      </c>
      <c r="D508" s="13" t="s">
        <v>14</v>
      </c>
      <c r="E508" s="13">
        <v>1</v>
      </c>
      <c r="F508" s="14">
        <v>12419</v>
      </c>
      <c r="G508" s="14">
        <v>12419</v>
      </c>
      <c r="H508" s="13" t="s">
        <v>35</v>
      </c>
      <c r="I508" s="13" t="s">
        <v>36</v>
      </c>
    </row>
    <row r="509" spans="1:9" x14ac:dyDescent="0.3">
      <c r="A509" s="12">
        <v>45778</v>
      </c>
      <c r="B509" s="13" t="s">
        <v>9</v>
      </c>
      <c r="C509" s="13" t="s">
        <v>10</v>
      </c>
      <c r="D509" s="13" t="s">
        <v>27</v>
      </c>
      <c r="E509" s="13">
        <v>4</v>
      </c>
      <c r="F509" s="14">
        <v>12019</v>
      </c>
      <c r="G509" s="14">
        <v>48076</v>
      </c>
      <c r="H509" s="13" t="s">
        <v>35</v>
      </c>
      <c r="I509" s="13" t="s">
        <v>36</v>
      </c>
    </row>
    <row r="510" spans="1:9" x14ac:dyDescent="0.3">
      <c r="A510" s="12">
        <v>45779</v>
      </c>
      <c r="B510" s="13" t="s">
        <v>17</v>
      </c>
      <c r="C510" s="13" t="s">
        <v>19</v>
      </c>
      <c r="D510" s="13" t="s">
        <v>18</v>
      </c>
      <c r="E510" s="13">
        <v>8</v>
      </c>
      <c r="F510" s="14">
        <v>17517</v>
      </c>
      <c r="G510" s="14">
        <v>140136</v>
      </c>
      <c r="H510" s="13" t="s">
        <v>35</v>
      </c>
      <c r="I510" s="13" t="s">
        <v>36</v>
      </c>
    </row>
    <row r="511" spans="1:9" x14ac:dyDescent="0.3">
      <c r="A511" s="12">
        <v>45779</v>
      </c>
      <c r="B511" s="13" t="s">
        <v>23</v>
      </c>
      <c r="C511" s="13" t="s">
        <v>10</v>
      </c>
      <c r="D511" s="13" t="s">
        <v>27</v>
      </c>
      <c r="E511" s="13">
        <v>3</v>
      </c>
      <c r="F511" s="14">
        <v>12168</v>
      </c>
      <c r="G511" s="14">
        <v>36504</v>
      </c>
      <c r="H511" s="13" t="s">
        <v>35</v>
      </c>
      <c r="I511" s="13" t="s">
        <v>36</v>
      </c>
    </row>
    <row r="512" spans="1:9" x14ac:dyDescent="0.3">
      <c r="A512" s="12">
        <v>45779</v>
      </c>
      <c r="B512" s="13" t="s">
        <v>23</v>
      </c>
      <c r="C512" s="13" t="s">
        <v>21</v>
      </c>
      <c r="D512" s="13" t="s">
        <v>28</v>
      </c>
      <c r="E512" s="13">
        <v>10</v>
      </c>
      <c r="F512" s="14">
        <v>3634</v>
      </c>
      <c r="G512" s="14">
        <v>36340</v>
      </c>
      <c r="H512" s="13" t="s">
        <v>35</v>
      </c>
      <c r="I512" s="13" t="s">
        <v>36</v>
      </c>
    </row>
    <row r="513" spans="1:9" x14ac:dyDescent="0.3">
      <c r="A513" s="12">
        <v>45779</v>
      </c>
      <c r="B513" s="13" t="s">
        <v>23</v>
      </c>
      <c r="C513" s="13" t="s">
        <v>22</v>
      </c>
      <c r="D513" s="13" t="s">
        <v>18</v>
      </c>
      <c r="E513" s="13">
        <v>7</v>
      </c>
      <c r="F513" s="14">
        <v>7603</v>
      </c>
      <c r="G513" s="14">
        <v>53221</v>
      </c>
      <c r="H513" s="13" t="s">
        <v>35</v>
      </c>
      <c r="I513" s="13" t="s">
        <v>36</v>
      </c>
    </row>
    <row r="514" spans="1:9" x14ac:dyDescent="0.3">
      <c r="A514" s="12">
        <v>45779</v>
      </c>
      <c r="B514" s="13" t="s">
        <v>17</v>
      </c>
      <c r="C514" s="13" t="s">
        <v>15</v>
      </c>
      <c r="D514" s="13" t="s">
        <v>11</v>
      </c>
      <c r="E514" s="13">
        <v>2</v>
      </c>
      <c r="F514" s="14">
        <v>22170</v>
      </c>
      <c r="G514" s="14">
        <v>44340</v>
      </c>
      <c r="H514" s="13" t="s">
        <v>35</v>
      </c>
      <c r="I514" s="13" t="s">
        <v>36</v>
      </c>
    </row>
    <row r="515" spans="1:9" x14ac:dyDescent="0.3">
      <c r="A515" s="12">
        <v>45779</v>
      </c>
      <c r="B515" s="13" t="s">
        <v>17</v>
      </c>
      <c r="C515" s="13" t="s">
        <v>19</v>
      </c>
      <c r="D515" s="13" t="s">
        <v>26</v>
      </c>
      <c r="E515" s="13">
        <v>4</v>
      </c>
      <c r="F515" s="14">
        <v>17923</v>
      </c>
      <c r="G515" s="14">
        <v>71692</v>
      </c>
      <c r="H515" s="13" t="s">
        <v>35</v>
      </c>
      <c r="I515" s="13" t="s">
        <v>36</v>
      </c>
    </row>
    <row r="516" spans="1:9" x14ac:dyDescent="0.3">
      <c r="A516" s="12">
        <v>45780</v>
      </c>
      <c r="B516" s="13" t="s">
        <v>23</v>
      </c>
      <c r="C516" s="13" t="s">
        <v>22</v>
      </c>
      <c r="D516" s="13" t="s">
        <v>26</v>
      </c>
      <c r="E516" s="13">
        <v>10</v>
      </c>
      <c r="F516" s="14">
        <v>7910</v>
      </c>
      <c r="G516" s="14">
        <v>79100</v>
      </c>
      <c r="H516" s="13" t="s">
        <v>35</v>
      </c>
      <c r="I516" s="13" t="s">
        <v>36</v>
      </c>
    </row>
    <row r="517" spans="1:9" x14ac:dyDescent="0.3">
      <c r="A517" s="12">
        <v>45780</v>
      </c>
      <c r="B517" s="13" t="s">
        <v>23</v>
      </c>
      <c r="C517" s="13" t="s">
        <v>22</v>
      </c>
      <c r="D517" s="13" t="s">
        <v>14</v>
      </c>
      <c r="E517" s="13">
        <v>6</v>
      </c>
      <c r="F517" s="14">
        <v>7881</v>
      </c>
      <c r="G517" s="14">
        <v>47286</v>
      </c>
      <c r="H517" s="13" t="s">
        <v>35</v>
      </c>
      <c r="I517" s="13" t="s">
        <v>36</v>
      </c>
    </row>
    <row r="518" spans="1:9" x14ac:dyDescent="0.3">
      <c r="A518" s="12">
        <v>45780</v>
      </c>
      <c r="B518" s="13" t="s">
        <v>23</v>
      </c>
      <c r="C518" s="13" t="s">
        <v>22</v>
      </c>
      <c r="D518" s="13" t="s">
        <v>27</v>
      </c>
      <c r="E518" s="13">
        <v>5</v>
      </c>
      <c r="F518" s="14">
        <v>8334</v>
      </c>
      <c r="G518" s="14">
        <v>41670</v>
      </c>
      <c r="H518" s="13" t="s">
        <v>35</v>
      </c>
      <c r="I518" s="13" t="s">
        <v>36</v>
      </c>
    </row>
    <row r="519" spans="1:9" x14ac:dyDescent="0.3">
      <c r="A519" s="12">
        <v>45780</v>
      </c>
      <c r="B519" s="13" t="s">
        <v>9</v>
      </c>
      <c r="C519" s="13" t="s">
        <v>10</v>
      </c>
      <c r="D519" s="13" t="s">
        <v>27</v>
      </c>
      <c r="E519" s="13">
        <v>6</v>
      </c>
      <c r="F519" s="14">
        <v>11541</v>
      </c>
      <c r="G519" s="14">
        <v>69246</v>
      </c>
      <c r="H519" s="13" t="s">
        <v>35</v>
      </c>
      <c r="I519" s="13" t="s">
        <v>36</v>
      </c>
    </row>
    <row r="520" spans="1:9" x14ac:dyDescent="0.3">
      <c r="A520" s="12">
        <v>45781</v>
      </c>
      <c r="B520" s="13" t="s">
        <v>9</v>
      </c>
      <c r="C520" s="13" t="s">
        <v>15</v>
      </c>
      <c r="D520" s="13" t="s">
        <v>26</v>
      </c>
      <c r="E520" s="13">
        <v>3</v>
      </c>
      <c r="F520" s="14">
        <v>22023</v>
      </c>
      <c r="G520" s="14">
        <v>66069</v>
      </c>
      <c r="H520" s="13" t="s">
        <v>35</v>
      </c>
      <c r="I520" s="13" t="s">
        <v>36</v>
      </c>
    </row>
    <row r="521" spans="1:9" x14ac:dyDescent="0.3">
      <c r="A521" s="12">
        <v>45781</v>
      </c>
      <c r="B521" s="13" t="s">
        <v>23</v>
      </c>
      <c r="C521" s="13" t="s">
        <v>22</v>
      </c>
      <c r="D521" s="13" t="s">
        <v>27</v>
      </c>
      <c r="E521" s="13">
        <v>10</v>
      </c>
      <c r="F521" s="14">
        <v>7906</v>
      </c>
      <c r="G521" s="14">
        <v>79060</v>
      </c>
      <c r="H521" s="13" t="s">
        <v>35</v>
      </c>
      <c r="I521" s="13" t="s">
        <v>36</v>
      </c>
    </row>
    <row r="522" spans="1:9" x14ac:dyDescent="0.3">
      <c r="A522" s="12">
        <v>45781</v>
      </c>
      <c r="B522" s="13" t="s">
        <v>17</v>
      </c>
      <c r="C522" s="13" t="s">
        <v>21</v>
      </c>
      <c r="D522" s="13" t="s">
        <v>27</v>
      </c>
      <c r="E522" s="13">
        <v>9</v>
      </c>
      <c r="F522" s="14">
        <v>3383</v>
      </c>
      <c r="G522" s="14">
        <v>30447</v>
      </c>
      <c r="H522" s="13" t="s">
        <v>35</v>
      </c>
      <c r="I522" s="13" t="s">
        <v>36</v>
      </c>
    </row>
    <row r="523" spans="1:9" x14ac:dyDescent="0.3">
      <c r="A523" s="12">
        <v>45781</v>
      </c>
      <c r="B523" s="13" t="s">
        <v>20</v>
      </c>
      <c r="C523" s="13" t="s">
        <v>15</v>
      </c>
      <c r="D523" s="13" t="s">
        <v>27</v>
      </c>
      <c r="E523" s="13">
        <v>6</v>
      </c>
      <c r="F523" s="14">
        <v>22752</v>
      </c>
      <c r="G523" s="14">
        <v>136512</v>
      </c>
      <c r="H523" s="13" t="s">
        <v>35</v>
      </c>
      <c r="I523" s="13" t="s">
        <v>36</v>
      </c>
    </row>
    <row r="524" spans="1:9" x14ac:dyDescent="0.3">
      <c r="A524" s="12">
        <v>45782</v>
      </c>
      <c r="B524" s="13" t="s">
        <v>9</v>
      </c>
      <c r="C524" s="13" t="s">
        <v>19</v>
      </c>
      <c r="D524" s="13" t="s">
        <v>28</v>
      </c>
      <c r="E524" s="13">
        <v>8</v>
      </c>
      <c r="F524" s="14">
        <v>17345</v>
      </c>
      <c r="G524" s="14">
        <v>138760</v>
      </c>
      <c r="H524" s="13" t="s">
        <v>35</v>
      </c>
      <c r="I524" s="13" t="s">
        <v>36</v>
      </c>
    </row>
    <row r="525" spans="1:9" x14ac:dyDescent="0.3">
      <c r="A525" s="12">
        <v>45782</v>
      </c>
      <c r="B525" s="13" t="s">
        <v>23</v>
      </c>
      <c r="C525" s="13" t="s">
        <v>22</v>
      </c>
      <c r="D525" s="13" t="s">
        <v>24</v>
      </c>
      <c r="E525" s="13">
        <v>7</v>
      </c>
      <c r="F525" s="14">
        <v>8147</v>
      </c>
      <c r="G525" s="14">
        <v>57029</v>
      </c>
      <c r="H525" s="13" t="s">
        <v>35</v>
      </c>
      <c r="I525" s="13" t="s">
        <v>36</v>
      </c>
    </row>
    <row r="526" spans="1:9" x14ac:dyDescent="0.3">
      <c r="A526" s="12">
        <v>45782</v>
      </c>
      <c r="B526" s="13" t="s">
        <v>23</v>
      </c>
      <c r="C526" s="13" t="s">
        <v>10</v>
      </c>
      <c r="D526" s="13" t="s">
        <v>24</v>
      </c>
      <c r="E526" s="13">
        <v>8</v>
      </c>
      <c r="F526" s="14">
        <v>11600</v>
      </c>
      <c r="G526" s="14">
        <v>92800</v>
      </c>
      <c r="H526" s="13" t="s">
        <v>35</v>
      </c>
      <c r="I526" s="13" t="s">
        <v>36</v>
      </c>
    </row>
    <row r="527" spans="1:9" x14ac:dyDescent="0.3">
      <c r="A527" s="12">
        <v>45782</v>
      </c>
      <c r="B527" s="13" t="s">
        <v>9</v>
      </c>
      <c r="C527" s="13" t="s">
        <v>15</v>
      </c>
      <c r="D527" s="13" t="s">
        <v>11</v>
      </c>
      <c r="E527" s="13">
        <v>1</v>
      </c>
      <c r="F527" s="14">
        <v>21504</v>
      </c>
      <c r="G527" s="14">
        <v>21504</v>
      </c>
      <c r="H527" s="13" t="s">
        <v>35</v>
      </c>
      <c r="I527" s="13" t="s">
        <v>36</v>
      </c>
    </row>
    <row r="528" spans="1:9" x14ac:dyDescent="0.3">
      <c r="A528" s="12">
        <v>45782</v>
      </c>
      <c r="B528" s="13" t="s">
        <v>20</v>
      </c>
      <c r="C528" s="13" t="s">
        <v>15</v>
      </c>
      <c r="D528" s="13" t="s">
        <v>24</v>
      </c>
      <c r="E528" s="13">
        <v>10</v>
      </c>
      <c r="F528" s="14">
        <v>22533</v>
      </c>
      <c r="G528" s="14">
        <v>225330</v>
      </c>
      <c r="H528" s="13" t="s">
        <v>35</v>
      </c>
      <c r="I528" s="13" t="s">
        <v>36</v>
      </c>
    </row>
    <row r="529" spans="1:9" x14ac:dyDescent="0.3">
      <c r="A529" s="12">
        <v>45782</v>
      </c>
      <c r="B529" s="13" t="s">
        <v>23</v>
      </c>
      <c r="C529" s="13" t="s">
        <v>22</v>
      </c>
      <c r="D529" s="13" t="s">
        <v>14</v>
      </c>
      <c r="E529" s="13">
        <v>10</v>
      </c>
      <c r="F529" s="14">
        <v>7691</v>
      </c>
      <c r="G529" s="14">
        <v>76910</v>
      </c>
      <c r="H529" s="13" t="s">
        <v>35</v>
      </c>
      <c r="I529" s="13" t="s">
        <v>36</v>
      </c>
    </row>
    <row r="530" spans="1:9" x14ac:dyDescent="0.3">
      <c r="A530" s="12">
        <v>45783</v>
      </c>
      <c r="B530" s="13" t="s">
        <v>20</v>
      </c>
      <c r="C530" s="13" t="s">
        <v>22</v>
      </c>
      <c r="D530" s="13" t="s">
        <v>28</v>
      </c>
      <c r="E530" s="13">
        <v>8</v>
      </c>
      <c r="F530" s="14">
        <v>8037</v>
      </c>
      <c r="G530" s="14">
        <v>64296</v>
      </c>
      <c r="H530" s="13" t="s">
        <v>35</v>
      </c>
      <c r="I530" s="13" t="s">
        <v>36</v>
      </c>
    </row>
    <row r="531" spans="1:9" x14ac:dyDescent="0.3">
      <c r="A531" s="12">
        <v>45783</v>
      </c>
      <c r="B531" s="13" t="s">
        <v>23</v>
      </c>
      <c r="C531" s="13" t="s">
        <v>25</v>
      </c>
      <c r="D531" s="13" t="s">
        <v>16</v>
      </c>
      <c r="E531" s="13">
        <v>5</v>
      </c>
      <c r="F531" s="14">
        <v>57061</v>
      </c>
      <c r="G531" s="14">
        <v>285305</v>
      </c>
      <c r="H531" s="13" t="s">
        <v>35</v>
      </c>
      <c r="I531" s="13" t="s">
        <v>36</v>
      </c>
    </row>
    <row r="532" spans="1:9" x14ac:dyDescent="0.3">
      <c r="A532" s="12">
        <v>45783</v>
      </c>
      <c r="B532" s="13" t="s">
        <v>9</v>
      </c>
      <c r="C532" s="13" t="s">
        <v>21</v>
      </c>
      <c r="D532" s="13" t="s">
        <v>11</v>
      </c>
      <c r="E532" s="13">
        <v>6</v>
      </c>
      <c r="F532" s="14">
        <v>3626</v>
      </c>
      <c r="G532" s="14">
        <v>21756</v>
      </c>
      <c r="H532" s="13" t="s">
        <v>35</v>
      </c>
      <c r="I532" s="13" t="s">
        <v>36</v>
      </c>
    </row>
    <row r="533" spans="1:9" x14ac:dyDescent="0.3">
      <c r="A533" s="12">
        <v>45783</v>
      </c>
      <c r="B533" s="13" t="s">
        <v>9</v>
      </c>
      <c r="C533" s="13" t="s">
        <v>21</v>
      </c>
      <c r="D533" s="13" t="s">
        <v>14</v>
      </c>
      <c r="E533" s="13">
        <v>4</v>
      </c>
      <c r="F533" s="14">
        <v>3398</v>
      </c>
      <c r="G533" s="14">
        <v>13592</v>
      </c>
      <c r="H533" s="13" t="s">
        <v>35</v>
      </c>
      <c r="I533" s="13" t="s">
        <v>36</v>
      </c>
    </row>
    <row r="534" spans="1:9" x14ac:dyDescent="0.3">
      <c r="A534" s="12">
        <v>45783</v>
      </c>
      <c r="B534" s="13" t="s">
        <v>20</v>
      </c>
      <c r="C534" s="13" t="s">
        <v>10</v>
      </c>
      <c r="D534" s="13" t="s">
        <v>18</v>
      </c>
      <c r="E534" s="13">
        <v>3</v>
      </c>
      <c r="F534" s="14">
        <v>12139</v>
      </c>
      <c r="G534" s="14">
        <v>36417</v>
      </c>
      <c r="H534" s="13" t="s">
        <v>35</v>
      </c>
      <c r="I534" s="13" t="s">
        <v>36</v>
      </c>
    </row>
    <row r="535" spans="1:9" x14ac:dyDescent="0.3">
      <c r="A535" s="12">
        <v>45783</v>
      </c>
      <c r="B535" s="13" t="s">
        <v>17</v>
      </c>
      <c r="C535" s="13" t="s">
        <v>15</v>
      </c>
      <c r="D535" s="13" t="s">
        <v>28</v>
      </c>
      <c r="E535" s="13">
        <v>10</v>
      </c>
      <c r="F535" s="14">
        <v>21671</v>
      </c>
      <c r="G535" s="14">
        <v>216710</v>
      </c>
      <c r="H535" s="13" t="s">
        <v>35</v>
      </c>
      <c r="I535" s="13" t="s">
        <v>36</v>
      </c>
    </row>
    <row r="536" spans="1:9" x14ac:dyDescent="0.3">
      <c r="A536" s="12">
        <v>45784</v>
      </c>
      <c r="B536" s="13" t="s">
        <v>17</v>
      </c>
      <c r="C536" s="13" t="s">
        <v>19</v>
      </c>
      <c r="D536" s="13" t="s">
        <v>11</v>
      </c>
      <c r="E536" s="13">
        <v>5</v>
      </c>
      <c r="F536" s="14">
        <v>18130</v>
      </c>
      <c r="G536" s="14">
        <v>90650</v>
      </c>
      <c r="H536" s="13" t="s">
        <v>35</v>
      </c>
      <c r="I536" s="13" t="s">
        <v>36</v>
      </c>
    </row>
    <row r="537" spans="1:9" x14ac:dyDescent="0.3">
      <c r="A537" s="12">
        <v>45784</v>
      </c>
      <c r="B537" s="13" t="s">
        <v>9</v>
      </c>
      <c r="C537" s="13" t="s">
        <v>15</v>
      </c>
      <c r="D537" s="13" t="s">
        <v>18</v>
      </c>
      <c r="E537" s="13">
        <v>1</v>
      </c>
      <c r="F537" s="14">
        <v>23083</v>
      </c>
      <c r="G537" s="14">
        <v>23083</v>
      </c>
      <c r="H537" s="13" t="s">
        <v>35</v>
      </c>
      <c r="I537" s="13" t="s">
        <v>36</v>
      </c>
    </row>
    <row r="538" spans="1:9" x14ac:dyDescent="0.3">
      <c r="A538" s="12">
        <v>45784</v>
      </c>
      <c r="B538" s="13" t="s">
        <v>17</v>
      </c>
      <c r="C538" s="13" t="s">
        <v>10</v>
      </c>
      <c r="D538" s="13" t="s">
        <v>27</v>
      </c>
      <c r="E538" s="13">
        <v>4</v>
      </c>
      <c r="F538" s="14">
        <v>11575</v>
      </c>
      <c r="G538" s="14">
        <v>46300</v>
      </c>
      <c r="H538" s="13" t="s">
        <v>35</v>
      </c>
      <c r="I538" s="13" t="s">
        <v>36</v>
      </c>
    </row>
    <row r="539" spans="1:9" x14ac:dyDescent="0.3">
      <c r="A539" s="12">
        <v>45784</v>
      </c>
      <c r="B539" s="13" t="s">
        <v>20</v>
      </c>
      <c r="C539" s="13" t="s">
        <v>15</v>
      </c>
      <c r="D539" s="13" t="s">
        <v>18</v>
      </c>
      <c r="E539" s="13">
        <v>8</v>
      </c>
      <c r="F539" s="14">
        <v>21212</v>
      </c>
      <c r="G539" s="14">
        <v>169696</v>
      </c>
      <c r="H539" s="13" t="s">
        <v>35</v>
      </c>
      <c r="I539" s="13" t="s">
        <v>36</v>
      </c>
    </row>
    <row r="540" spans="1:9" x14ac:dyDescent="0.3">
      <c r="A540" s="12">
        <v>45785</v>
      </c>
      <c r="B540" s="13" t="s">
        <v>23</v>
      </c>
      <c r="C540" s="13" t="s">
        <v>21</v>
      </c>
      <c r="D540" s="13" t="s">
        <v>24</v>
      </c>
      <c r="E540" s="13">
        <v>2</v>
      </c>
      <c r="F540" s="14">
        <v>3546</v>
      </c>
      <c r="G540" s="14">
        <v>7092</v>
      </c>
      <c r="H540" s="13" t="s">
        <v>35</v>
      </c>
      <c r="I540" s="13" t="s">
        <v>36</v>
      </c>
    </row>
    <row r="541" spans="1:9" x14ac:dyDescent="0.3">
      <c r="A541" s="12">
        <v>45785</v>
      </c>
      <c r="B541" s="13" t="s">
        <v>9</v>
      </c>
      <c r="C541" s="13" t="s">
        <v>21</v>
      </c>
      <c r="D541" s="13" t="s">
        <v>11</v>
      </c>
      <c r="E541" s="13">
        <v>6</v>
      </c>
      <c r="F541" s="14">
        <v>3484</v>
      </c>
      <c r="G541" s="14">
        <v>20904</v>
      </c>
      <c r="H541" s="13" t="s">
        <v>35</v>
      </c>
      <c r="I541" s="13" t="s">
        <v>36</v>
      </c>
    </row>
    <row r="542" spans="1:9" x14ac:dyDescent="0.3">
      <c r="A542" s="12">
        <v>45785</v>
      </c>
      <c r="B542" s="13" t="s">
        <v>23</v>
      </c>
      <c r="C542" s="13" t="s">
        <v>19</v>
      </c>
      <c r="D542" s="13" t="s">
        <v>28</v>
      </c>
      <c r="E542" s="13">
        <v>2</v>
      </c>
      <c r="F542" s="14">
        <v>18415</v>
      </c>
      <c r="G542" s="14">
        <v>36830</v>
      </c>
      <c r="H542" s="13" t="s">
        <v>35</v>
      </c>
      <c r="I542" s="13" t="s">
        <v>36</v>
      </c>
    </row>
    <row r="543" spans="1:9" x14ac:dyDescent="0.3">
      <c r="A543" s="12">
        <v>45785</v>
      </c>
      <c r="B543" s="13" t="s">
        <v>23</v>
      </c>
      <c r="C543" s="13" t="s">
        <v>10</v>
      </c>
      <c r="D543" s="13" t="s">
        <v>26</v>
      </c>
      <c r="E543" s="13">
        <v>2</v>
      </c>
      <c r="F543" s="14">
        <v>12354</v>
      </c>
      <c r="G543" s="14">
        <v>24708</v>
      </c>
      <c r="H543" s="13" t="s">
        <v>35</v>
      </c>
      <c r="I543" s="13" t="s">
        <v>36</v>
      </c>
    </row>
    <row r="544" spans="1:9" x14ac:dyDescent="0.3">
      <c r="A544" s="12">
        <v>45786</v>
      </c>
      <c r="B544" s="13" t="s">
        <v>17</v>
      </c>
      <c r="C544" s="13" t="s">
        <v>21</v>
      </c>
      <c r="D544" s="13" t="s">
        <v>16</v>
      </c>
      <c r="E544" s="13">
        <v>8</v>
      </c>
      <c r="F544" s="14">
        <v>3418</v>
      </c>
      <c r="G544" s="14">
        <v>27344</v>
      </c>
      <c r="H544" s="13" t="s">
        <v>35</v>
      </c>
      <c r="I544" s="13" t="s">
        <v>36</v>
      </c>
    </row>
    <row r="545" spans="1:9" x14ac:dyDescent="0.3">
      <c r="A545" s="12">
        <v>45786</v>
      </c>
      <c r="B545" s="13" t="s">
        <v>20</v>
      </c>
      <c r="C545" s="13" t="s">
        <v>19</v>
      </c>
      <c r="D545" s="13" t="s">
        <v>27</v>
      </c>
      <c r="E545" s="13">
        <v>10</v>
      </c>
      <c r="F545" s="14">
        <v>18634</v>
      </c>
      <c r="G545" s="14">
        <v>186340</v>
      </c>
      <c r="H545" s="13" t="s">
        <v>35</v>
      </c>
      <c r="I545" s="13" t="s">
        <v>36</v>
      </c>
    </row>
    <row r="546" spans="1:9" x14ac:dyDescent="0.3">
      <c r="A546" s="12">
        <v>45786</v>
      </c>
      <c r="B546" s="13" t="s">
        <v>20</v>
      </c>
      <c r="C546" s="13" t="s">
        <v>10</v>
      </c>
      <c r="D546" s="13" t="s">
        <v>28</v>
      </c>
      <c r="E546" s="13">
        <v>1</v>
      </c>
      <c r="F546" s="14">
        <v>11519</v>
      </c>
      <c r="G546" s="14">
        <v>11519</v>
      </c>
      <c r="H546" s="13" t="s">
        <v>35</v>
      </c>
      <c r="I546" s="13" t="s">
        <v>36</v>
      </c>
    </row>
    <row r="547" spans="1:9" x14ac:dyDescent="0.3">
      <c r="A547" s="12">
        <v>45786</v>
      </c>
      <c r="B547" s="13" t="s">
        <v>23</v>
      </c>
      <c r="C547" s="13" t="s">
        <v>25</v>
      </c>
      <c r="D547" s="13" t="s">
        <v>14</v>
      </c>
      <c r="E547" s="13">
        <v>3</v>
      </c>
      <c r="F547" s="14">
        <v>54677</v>
      </c>
      <c r="G547" s="14">
        <v>164031</v>
      </c>
      <c r="H547" s="13" t="s">
        <v>35</v>
      </c>
      <c r="I547" s="13" t="s">
        <v>36</v>
      </c>
    </row>
    <row r="548" spans="1:9" x14ac:dyDescent="0.3">
      <c r="A548" s="12">
        <v>45786</v>
      </c>
      <c r="B548" s="13" t="s">
        <v>9</v>
      </c>
      <c r="C548" s="13" t="s">
        <v>21</v>
      </c>
      <c r="D548" s="13" t="s">
        <v>16</v>
      </c>
      <c r="E548" s="13">
        <v>3</v>
      </c>
      <c r="F548" s="14">
        <v>3633</v>
      </c>
      <c r="G548" s="14">
        <v>10899</v>
      </c>
      <c r="H548" s="13" t="s">
        <v>35</v>
      </c>
      <c r="I548" s="13" t="s">
        <v>36</v>
      </c>
    </row>
    <row r="549" spans="1:9" x14ac:dyDescent="0.3">
      <c r="A549" s="12">
        <v>45787</v>
      </c>
      <c r="B549" s="13" t="s">
        <v>17</v>
      </c>
      <c r="C549" s="13" t="s">
        <v>19</v>
      </c>
      <c r="D549" s="13" t="s">
        <v>14</v>
      </c>
      <c r="E549" s="13">
        <v>6</v>
      </c>
      <c r="F549" s="14">
        <v>17550</v>
      </c>
      <c r="G549" s="14">
        <v>105300</v>
      </c>
      <c r="H549" s="13" t="s">
        <v>35</v>
      </c>
      <c r="I549" s="13" t="s">
        <v>36</v>
      </c>
    </row>
    <row r="550" spans="1:9" x14ac:dyDescent="0.3">
      <c r="A550" s="12">
        <v>45787</v>
      </c>
      <c r="B550" s="13" t="s">
        <v>20</v>
      </c>
      <c r="C550" s="13" t="s">
        <v>10</v>
      </c>
      <c r="D550" s="13" t="s">
        <v>27</v>
      </c>
      <c r="E550" s="13">
        <v>1</v>
      </c>
      <c r="F550" s="14">
        <v>11875</v>
      </c>
      <c r="G550" s="14">
        <v>11875</v>
      </c>
      <c r="H550" s="13" t="s">
        <v>35</v>
      </c>
      <c r="I550" s="13" t="s">
        <v>36</v>
      </c>
    </row>
    <row r="551" spans="1:9" x14ac:dyDescent="0.3">
      <c r="A551" s="12">
        <v>45787</v>
      </c>
      <c r="B551" s="13" t="s">
        <v>20</v>
      </c>
      <c r="C551" s="13" t="s">
        <v>10</v>
      </c>
      <c r="D551" s="13" t="s">
        <v>16</v>
      </c>
      <c r="E551" s="13">
        <v>7</v>
      </c>
      <c r="F551" s="14">
        <v>12186</v>
      </c>
      <c r="G551" s="14">
        <v>85302</v>
      </c>
      <c r="H551" s="13" t="s">
        <v>35</v>
      </c>
      <c r="I551" s="13" t="s">
        <v>36</v>
      </c>
    </row>
    <row r="552" spans="1:9" x14ac:dyDescent="0.3">
      <c r="A552" s="12">
        <v>45787</v>
      </c>
      <c r="B552" s="13" t="s">
        <v>9</v>
      </c>
      <c r="C552" s="13" t="s">
        <v>25</v>
      </c>
      <c r="D552" s="13" t="s">
        <v>16</v>
      </c>
      <c r="E552" s="13">
        <v>8</v>
      </c>
      <c r="F552" s="14">
        <v>52678</v>
      </c>
      <c r="G552" s="14">
        <v>421424</v>
      </c>
      <c r="H552" s="13" t="s">
        <v>35</v>
      </c>
      <c r="I552" s="13" t="s">
        <v>36</v>
      </c>
    </row>
    <row r="553" spans="1:9" x14ac:dyDescent="0.3">
      <c r="A553" s="12">
        <v>45788</v>
      </c>
      <c r="B553" s="13" t="s">
        <v>17</v>
      </c>
      <c r="C553" s="13" t="s">
        <v>22</v>
      </c>
      <c r="D553" s="13" t="s">
        <v>24</v>
      </c>
      <c r="E553" s="13">
        <v>1</v>
      </c>
      <c r="F553" s="14">
        <v>7606</v>
      </c>
      <c r="G553" s="14">
        <v>7606</v>
      </c>
      <c r="H553" s="13" t="s">
        <v>35</v>
      </c>
      <c r="I553" s="13" t="s">
        <v>36</v>
      </c>
    </row>
    <row r="554" spans="1:9" x14ac:dyDescent="0.3">
      <c r="A554" s="12">
        <v>45788</v>
      </c>
      <c r="B554" s="13" t="s">
        <v>20</v>
      </c>
      <c r="C554" s="13" t="s">
        <v>25</v>
      </c>
      <c r="D554" s="13" t="s">
        <v>18</v>
      </c>
      <c r="E554" s="13">
        <v>3</v>
      </c>
      <c r="F554" s="14">
        <v>54877</v>
      </c>
      <c r="G554" s="14">
        <v>164631</v>
      </c>
      <c r="H554" s="13" t="s">
        <v>35</v>
      </c>
      <c r="I554" s="13" t="s">
        <v>36</v>
      </c>
    </row>
    <row r="555" spans="1:9" x14ac:dyDescent="0.3">
      <c r="A555" s="12">
        <v>45788</v>
      </c>
      <c r="B555" s="13" t="s">
        <v>17</v>
      </c>
      <c r="C555" s="13" t="s">
        <v>21</v>
      </c>
      <c r="D555" s="13" t="s">
        <v>14</v>
      </c>
      <c r="E555" s="13">
        <v>2</v>
      </c>
      <c r="F555" s="14">
        <v>3361</v>
      </c>
      <c r="G555" s="14">
        <v>6722</v>
      </c>
      <c r="H555" s="13" t="s">
        <v>35</v>
      </c>
      <c r="I555" s="13" t="s">
        <v>36</v>
      </c>
    </row>
    <row r="556" spans="1:9" x14ac:dyDescent="0.3">
      <c r="A556" s="12">
        <v>45788</v>
      </c>
      <c r="B556" s="13" t="s">
        <v>20</v>
      </c>
      <c r="C556" s="13" t="s">
        <v>19</v>
      </c>
      <c r="D556" s="13" t="s">
        <v>27</v>
      </c>
      <c r="E556" s="13">
        <v>7</v>
      </c>
      <c r="F556" s="14">
        <v>18492</v>
      </c>
      <c r="G556" s="14">
        <v>129444</v>
      </c>
      <c r="H556" s="13" t="s">
        <v>35</v>
      </c>
      <c r="I556" s="13" t="s">
        <v>36</v>
      </c>
    </row>
    <row r="557" spans="1:9" x14ac:dyDescent="0.3">
      <c r="A557" s="12">
        <v>45788</v>
      </c>
      <c r="B557" s="13" t="s">
        <v>17</v>
      </c>
      <c r="C557" s="13" t="s">
        <v>10</v>
      </c>
      <c r="D557" s="13" t="s">
        <v>27</v>
      </c>
      <c r="E557" s="13">
        <v>2</v>
      </c>
      <c r="F557" s="14">
        <v>12036</v>
      </c>
      <c r="G557" s="14">
        <v>24072</v>
      </c>
      <c r="H557" s="13" t="s">
        <v>35</v>
      </c>
      <c r="I557" s="13" t="s">
        <v>36</v>
      </c>
    </row>
    <row r="558" spans="1:9" x14ac:dyDescent="0.3">
      <c r="A558" s="12">
        <v>45788</v>
      </c>
      <c r="B558" s="13" t="s">
        <v>9</v>
      </c>
      <c r="C558" s="13" t="s">
        <v>22</v>
      </c>
      <c r="D558" s="13" t="s">
        <v>27</v>
      </c>
      <c r="E558" s="13">
        <v>8</v>
      </c>
      <c r="F558" s="14">
        <v>7880</v>
      </c>
      <c r="G558" s="14">
        <v>63040</v>
      </c>
      <c r="H558" s="13" t="s">
        <v>35</v>
      </c>
      <c r="I558" s="13" t="s">
        <v>36</v>
      </c>
    </row>
    <row r="559" spans="1:9" x14ac:dyDescent="0.3">
      <c r="A559" s="12">
        <v>45789</v>
      </c>
      <c r="B559" s="13" t="s">
        <v>17</v>
      </c>
      <c r="C559" s="13" t="s">
        <v>21</v>
      </c>
      <c r="D559" s="13" t="s">
        <v>24</v>
      </c>
      <c r="E559" s="13">
        <v>4</v>
      </c>
      <c r="F559" s="14">
        <v>3355</v>
      </c>
      <c r="G559" s="14">
        <v>13420</v>
      </c>
      <c r="H559" s="13" t="s">
        <v>35</v>
      </c>
      <c r="I559" s="13" t="s">
        <v>36</v>
      </c>
    </row>
    <row r="560" spans="1:9" x14ac:dyDescent="0.3">
      <c r="A560" s="12">
        <v>45789</v>
      </c>
      <c r="B560" s="13" t="s">
        <v>9</v>
      </c>
      <c r="C560" s="13" t="s">
        <v>15</v>
      </c>
      <c r="D560" s="13" t="s">
        <v>14</v>
      </c>
      <c r="E560" s="13">
        <v>10</v>
      </c>
      <c r="F560" s="14">
        <v>22506</v>
      </c>
      <c r="G560" s="14">
        <v>225060</v>
      </c>
      <c r="H560" s="13" t="s">
        <v>35</v>
      </c>
      <c r="I560" s="13" t="s">
        <v>36</v>
      </c>
    </row>
    <row r="561" spans="1:9" x14ac:dyDescent="0.3">
      <c r="A561" s="12">
        <v>45789</v>
      </c>
      <c r="B561" s="13" t="s">
        <v>20</v>
      </c>
      <c r="C561" s="13" t="s">
        <v>21</v>
      </c>
      <c r="D561" s="13" t="s">
        <v>26</v>
      </c>
      <c r="E561" s="13">
        <v>3</v>
      </c>
      <c r="F561" s="14">
        <v>3411</v>
      </c>
      <c r="G561" s="14">
        <v>10233</v>
      </c>
      <c r="H561" s="13" t="s">
        <v>35</v>
      </c>
      <c r="I561" s="13" t="s">
        <v>36</v>
      </c>
    </row>
    <row r="562" spans="1:9" x14ac:dyDescent="0.3">
      <c r="A562" s="12">
        <v>45790</v>
      </c>
      <c r="B562" s="13" t="s">
        <v>17</v>
      </c>
      <c r="C562" s="13" t="s">
        <v>22</v>
      </c>
      <c r="D562" s="13" t="s">
        <v>11</v>
      </c>
      <c r="E562" s="13">
        <v>1</v>
      </c>
      <c r="F562" s="14">
        <v>8278</v>
      </c>
      <c r="G562" s="14">
        <v>8278</v>
      </c>
      <c r="H562" s="13" t="s">
        <v>35</v>
      </c>
      <c r="I562" s="13" t="s">
        <v>36</v>
      </c>
    </row>
    <row r="563" spans="1:9" x14ac:dyDescent="0.3">
      <c r="A563" s="12">
        <v>45790</v>
      </c>
      <c r="B563" s="13" t="s">
        <v>20</v>
      </c>
      <c r="C563" s="13" t="s">
        <v>15</v>
      </c>
      <c r="D563" s="13" t="s">
        <v>16</v>
      </c>
      <c r="E563" s="13">
        <v>7</v>
      </c>
      <c r="F563" s="14">
        <v>21550</v>
      </c>
      <c r="G563" s="14">
        <v>150850</v>
      </c>
      <c r="H563" s="13" t="s">
        <v>35</v>
      </c>
      <c r="I563" s="13" t="s">
        <v>36</v>
      </c>
    </row>
    <row r="564" spans="1:9" x14ac:dyDescent="0.3">
      <c r="A564" s="12">
        <v>45791</v>
      </c>
      <c r="B564" s="13" t="s">
        <v>17</v>
      </c>
      <c r="C564" s="13" t="s">
        <v>21</v>
      </c>
      <c r="D564" s="13" t="s">
        <v>18</v>
      </c>
      <c r="E564" s="13">
        <v>2</v>
      </c>
      <c r="F564" s="14">
        <v>3409</v>
      </c>
      <c r="G564" s="14">
        <v>6818</v>
      </c>
      <c r="H564" s="13" t="s">
        <v>35</v>
      </c>
      <c r="I564" s="13" t="s">
        <v>36</v>
      </c>
    </row>
    <row r="565" spans="1:9" x14ac:dyDescent="0.3">
      <c r="A565" s="12">
        <v>45791</v>
      </c>
      <c r="B565" s="13" t="s">
        <v>9</v>
      </c>
      <c r="C565" s="13" t="s">
        <v>22</v>
      </c>
      <c r="D565" s="13" t="s">
        <v>28</v>
      </c>
      <c r="E565" s="13">
        <v>6</v>
      </c>
      <c r="F565" s="14">
        <v>8347</v>
      </c>
      <c r="G565" s="14">
        <v>50082</v>
      </c>
      <c r="H565" s="13" t="s">
        <v>35</v>
      </c>
      <c r="I565" s="13" t="s">
        <v>36</v>
      </c>
    </row>
    <row r="566" spans="1:9" x14ac:dyDescent="0.3">
      <c r="A566" s="12">
        <v>45792</v>
      </c>
      <c r="B566" s="13" t="s">
        <v>23</v>
      </c>
      <c r="C566" s="13" t="s">
        <v>22</v>
      </c>
      <c r="D566" s="13" t="s">
        <v>18</v>
      </c>
      <c r="E566" s="13">
        <v>6</v>
      </c>
      <c r="F566" s="14">
        <v>8037</v>
      </c>
      <c r="G566" s="14">
        <v>48222</v>
      </c>
      <c r="H566" s="13" t="s">
        <v>35</v>
      </c>
      <c r="I566" s="13" t="s">
        <v>36</v>
      </c>
    </row>
    <row r="567" spans="1:9" x14ac:dyDescent="0.3">
      <c r="A567" s="12">
        <v>45792</v>
      </c>
      <c r="B567" s="13" t="s">
        <v>17</v>
      </c>
      <c r="C567" s="13" t="s">
        <v>21</v>
      </c>
      <c r="D567" s="13" t="s">
        <v>14</v>
      </c>
      <c r="E567" s="13">
        <v>1</v>
      </c>
      <c r="F567" s="14">
        <v>3530</v>
      </c>
      <c r="G567" s="14">
        <v>3530</v>
      </c>
      <c r="H567" s="13" t="s">
        <v>35</v>
      </c>
      <c r="I567" s="13" t="s">
        <v>36</v>
      </c>
    </row>
    <row r="568" spans="1:9" x14ac:dyDescent="0.3">
      <c r="A568" s="12">
        <v>45792</v>
      </c>
      <c r="B568" s="13" t="s">
        <v>9</v>
      </c>
      <c r="C568" s="13" t="s">
        <v>19</v>
      </c>
      <c r="D568" s="13" t="s">
        <v>16</v>
      </c>
      <c r="E568" s="13">
        <v>1</v>
      </c>
      <c r="F568" s="14">
        <v>18760</v>
      </c>
      <c r="G568" s="14">
        <v>18760</v>
      </c>
      <c r="H568" s="13" t="s">
        <v>35</v>
      </c>
      <c r="I568" s="13" t="s">
        <v>36</v>
      </c>
    </row>
    <row r="569" spans="1:9" x14ac:dyDescent="0.3">
      <c r="A569" s="12">
        <v>45793</v>
      </c>
      <c r="B569" s="13" t="s">
        <v>20</v>
      </c>
      <c r="C569" s="13" t="s">
        <v>10</v>
      </c>
      <c r="D569" s="13" t="s">
        <v>18</v>
      </c>
      <c r="E569" s="13">
        <v>7</v>
      </c>
      <c r="F569" s="14">
        <v>12242</v>
      </c>
      <c r="G569" s="14">
        <v>85694</v>
      </c>
      <c r="H569" s="13" t="s">
        <v>35</v>
      </c>
      <c r="I569" s="13" t="s">
        <v>36</v>
      </c>
    </row>
    <row r="570" spans="1:9" x14ac:dyDescent="0.3">
      <c r="A570" s="12">
        <v>45793</v>
      </c>
      <c r="B570" s="13" t="s">
        <v>9</v>
      </c>
      <c r="C570" s="13" t="s">
        <v>10</v>
      </c>
      <c r="D570" s="13" t="s">
        <v>27</v>
      </c>
      <c r="E570" s="13">
        <v>5</v>
      </c>
      <c r="F570" s="14">
        <v>11500</v>
      </c>
      <c r="G570" s="14">
        <v>57500</v>
      </c>
      <c r="H570" s="13" t="s">
        <v>35</v>
      </c>
      <c r="I570" s="13" t="s">
        <v>36</v>
      </c>
    </row>
    <row r="571" spans="1:9" x14ac:dyDescent="0.3">
      <c r="A571" s="12">
        <v>45793</v>
      </c>
      <c r="B571" s="13" t="s">
        <v>9</v>
      </c>
      <c r="C571" s="13" t="s">
        <v>22</v>
      </c>
      <c r="D571" s="13" t="s">
        <v>16</v>
      </c>
      <c r="E571" s="13">
        <v>3</v>
      </c>
      <c r="F571" s="14">
        <v>8029</v>
      </c>
      <c r="G571" s="14">
        <v>24087</v>
      </c>
      <c r="H571" s="13" t="s">
        <v>35</v>
      </c>
      <c r="I571" s="13" t="s">
        <v>36</v>
      </c>
    </row>
    <row r="572" spans="1:9" x14ac:dyDescent="0.3">
      <c r="A572" s="12">
        <v>45793</v>
      </c>
      <c r="B572" s="13" t="s">
        <v>23</v>
      </c>
      <c r="C572" s="13" t="s">
        <v>22</v>
      </c>
      <c r="D572" s="13" t="s">
        <v>14</v>
      </c>
      <c r="E572" s="13">
        <v>5</v>
      </c>
      <c r="F572" s="14">
        <v>8158</v>
      </c>
      <c r="G572" s="14">
        <v>40790</v>
      </c>
      <c r="H572" s="13" t="s">
        <v>35</v>
      </c>
      <c r="I572" s="13" t="s">
        <v>36</v>
      </c>
    </row>
    <row r="573" spans="1:9" x14ac:dyDescent="0.3">
      <c r="A573" s="12">
        <v>45793</v>
      </c>
      <c r="B573" s="13" t="s">
        <v>17</v>
      </c>
      <c r="C573" s="13" t="s">
        <v>25</v>
      </c>
      <c r="D573" s="13" t="s">
        <v>16</v>
      </c>
      <c r="E573" s="13">
        <v>2</v>
      </c>
      <c r="F573" s="14">
        <v>57335</v>
      </c>
      <c r="G573" s="14">
        <v>114670</v>
      </c>
      <c r="H573" s="13" t="s">
        <v>35</v>
      </c>
      <c r="I573" s="13" t="s">
        <v>36</v>
      </c>
    </row>
    <row r="574" spans="1:9" x14ac:dyDescent="0.3">
      <c r="A574" s="12">
        <v>45794</v>
      </c>
      <c r="B574" s="13" t="s">
        <v>23</v>
      </c>
      <c r="C574" s="13" t="s">
        <v>22</v>
      </c>
      <c r="D574" s="13" t="s">
        <v>28</v>
      </c>
      <c r="E574" s="13">
        <v>5</v>
      </c>
      <c r="F574" s="14">
        <v>8132</v>
      </c>
      <c r="G574" s="14">
        <v>40660</v>
      </c>
      <c r="H574" s="13" t="s">
        <v>35</v>
      </c>
      <c r="I574" s="13" t="s">
        <v>36</v>
      </c>
    </row>
    <row r="575" spans="1:9" x14ac:dyDescent="0.3">
      <c r="A575" s="12">
        <v>45794</v>
      </c>
      <c r="B575" s="13" t="s">
        <v>17</v>
      </c>
      <c r="C575" s="13" t="s">
        <v>25</v>
      </c>
      <c r="D575" s="13" t="s">
        <v>28</v>
      </c>
      <c r="E575" s="13">
        <v>3</v>
      </c>
      <c r="F575" s="14">
        <v>56108</v>
      </c>
      <c r="G575" s="14">
        <v>168324</v>
      </c>
      <c r="H575" s="13" t="s">
        <v>35</v>
      </c>
      <c r="I575" s="13" t="s">
        <v>36</v>
      </c>
    </row>
    <row r="576" spans="1:9" x14ac:dyDescent="0.3">
      <c r="A576" s="12">
        <v>45795</v>
      </c>
      <c r="B576" s="13" t="s">
        <v>23</v>
      </c>
      <c r="C576" s="13" t="s">
        <v>19</v>
      </c>
      <c r="D576" s="13" t="s">
        <v>11</v>
      </c>
      <c r="E576" s="13">
        <v>3</v>
      </c>
      <c r="F576" s="14">
        <v>17769</v>
      </c>
      <c r="G576" s="14">
        <v>53307</v>
      </c>
      <c r="H576" s="13" t="s">
        <v>35</v>
      </c>
      <c r="I576" s="13" t="s">
        <v>36</v>
      </c>
    </row>
    <row r="577" spans="1:9" x14ac:dyDescent="0.3">
      <c r="A577" s="12">
        <v>45795</v>
      </c>
      <c r="B577" s="13" t="s">
        <v>20</v>
      </c>
      <c r="C577" s="13" t="s">
        <v>10</v>
      </c>
      <c r="D577" s="13" t="s">
        <v>14</v>
      </c>
      <c r="E577" s="13">
        <v>1</v>
      </c>
      <c r="F577" s="14">
        <v>11802</v>
      </c>
      <c r="G577" s="14">
        <v>11802</v>
      </c>
      <c r="H577" s="13" t="s">
        <v>35</v>
      </c>
      <c r="I577" s="13" t="s">
        <v>36</v>
      </c>
    </row>
    <row r="578" spans="1:9" x14ac:dyDescent="0.3">
      <c r="A578" s="12">
        <v>45795</v>
      </c>
      <c r="B578" s="13" t="s">
        <v>23</v>
      </c>
      <c r="C578" s="13" t="s">
        <v>19</v>
      </c>
      <c r="D578" s="13" t="s">
        <v>14</v>
      </c>
      <c r="E578" s="13">
        <v>5</v>
      </c>
      <c r="F578" s="14">
        <v>18382</v>
      </c>
      <c r="G578" s="14">
        <v>91910</v>
      </c>
      <c r="H578" s="13" t="s">
        <v>35</v>
      </c>
      <c r="I578" s="13" t="s">
        <v>36</v>
      </c>
    </row>
    <row r="579" spans="1:9" x14ac:dyDescent="0.3">
      <c r="A579" s="12">
        <v>45796</v>
      </c>
      <c r="B579" s="13" t="s">
        <v>9</v>
      </c>
      <c r="C579" s="13" t="s">
        <v>21</v>
      </c>
      <c r="D579" s="13" t="s">
        <v>24</v>
      </c>
      <c r="E579" s="13">
        <v>9</v>
      </c>
      <c r="F579" s="14">
        <v>3451</v>
      </c>
      <c r="G579" s="14">
        <v>31059</v>
      </c>
      <c r="H579" s="13" t="s">
        <v>35</v>
      </c>
      <c r="I579" s="13" t="s">
        <v>36</v>
      </c>
    </row>
    <row r="580" spans="1:9" x14ac:dyDescent="0.3">
      <c r="A580" s="12">
        <v>45796</v>
      </c>
      <c r="B580" s="13" t="s">
        <v>23</v>
      </c>
      <c r="C580" s="13" t="s">
        <v>22</v>
      </c>
      <c r="D580" s="13" t="s">
        <v>27</v>
      </c>
      <c r="E580" s="13">
        <v>6</v>
      </c>
      <c r="F580" s="14">
        <v>7725</v>
      </c>
      <c r="G580" s="14">
        <v>46350</v>
      </c>
      <c r="H580" s="13" t="s">
        <v>35</v>
      </c>
      <c r="I580" s="13" t="s">
        <v>36</v>
      </c>
    </row>
    <row r="581" spans="1:9" x14ac:dyDescent="0.3">
      <c r="A581" s="12">
        <v>45796</v>
      </c>
      <c r="B581" s="13" t="s">
        <v>9</v>
      </c>
      <c r="C581" s="13" t="s">
        <v>22</v>
      </c>
      <c r="D581" s="13" t="s">
        <v>14</v>
      </c>
      <c r="E581" s="13">
        <v>4</v>
      </c>
      <c r="F581" s="14">
        <v>8192</v>
      </c>
      <c r="G581" s="14">
        <v>32768</v>
      </c>
      <c r="H581" s="13" t="s">
        <v>35</v>
      </c>
      <c r="I581" s="13" t="s">
        <v>36</v>
      </c>
    </row>
    <row r="582" spans="1:9" x14ac:dyDescent="0.3">
      <c r="A582" s="12">
        <v>45796</v>
      </c>
      <c r="B582" s="13" t="s">
        <v>9</v>
      </c>
      <c r="C582" s="13" t="s">
        <v>25</v>
      </c>
      <c r="D582" s="13" t="s">
        <v>28</v>
      </c>
      <c r="E582" s="13">
        <v>4</v>
      </c>
      <c r="F582" s="14">
        <v>52502</v>
      </c>
      <c r="G582" s="14">
        <v>210008</v>
      </c>
      <c r="H582" s="13" t="s">
        <v>35</v>
      </c>
      <c r="I582" s="13" t="s">
        <v>36</v>
      </c>
    </row>
    <row r="583" spans="1:9" x14ac:dyDescent="0.3">
      <c r="A583" s="12">
        <v>45796</v>
      </c>
      <c r="B583" s="13" t="s">
        <v>20</v>
      </c>
      <c r="C583" s="13" t="s">
        <v>21</v>
      </c>
      <c r="D583" s="13" t="s">
        <v>27</v>
      </c>
      <c r="E583" s="13">
        <v>3</v>
      </c>
      <c r="F583" s="14">
        <v>3650</v>
      </c>
      <c r="G583" s="14">
        <v>10950</v>
      </c>
      <c r="H583" s="13" t="s">
        <v>35</v>
      </c>
      <c r="I583" s="13" t="s">
        <v>36</v>
      </c>
    </row>
    <row r="584" spans="1:9" x14ac:dyDescent="0.3">
      <c r="A584" s="12">
        <v>45796</v>
      </c>
      <c r="B584" s="13" t="s">
        <v>9</v>
      </c>
      <c r="C584" s="13" t="s">
        <v>22</v>
      </c>
      <c r="D584" s="13" t="s">
        <v>18</v>
      </c>
      <c r="E584" s="13">
        <v>4</v>
      </c>
      <c r="F584" s="14">
        <v>7857</v>
      </c>
      <c r="G584" s="14">
        <v>31428</v>
      </c>
      <c r="H584" s="13" t="s">
        <v>35</v>
      </c>
      <c r="I584" s="13" t="s">
        <v>36</v>
      </c>
    </row>
    <row r="585" spans="1:9" x14ac:dyDescent="0.3">
      <c r="A585" s="12">
        <v>45797</v>
      </c>
      <c r="B585" s="13" t="s">
        <v>20</v>
      </c>
      <c r="C585" s="13" t="s">
        <v>19</v>
      </c>
      <c r="D585" s="13" t="s">
        <v>14</v>
      </c>
      <c r="E585" s="13">
        <v>10</v>
      </c>
      <c r="F585" s="14">
        <v>17771</v>
      </c>
      <c r="G585" s="14">
        <v>177710</v>
      </c>
      <c r="H585" s="13" t="s">
        <v>35</v>
      </c>
      <c r="I585" s="13" t="s">
        <v>36</v>
      </c>
    </row>
    <row r="586" spans="1:9" x14ac:dyDescent="0.3">
      <c r="A586" s="12">
        <v>45797</v>
      </c>
      <c r="B586" s="13" t="s">
        <v>9</v>
      </c>
      <c r="C586" s="13" t="s">
        <v>15</v>
      </c>
      <c r="D586" s="13" t="s">
        <v>16</v>
      </c>
      <c r="E586" s="13">
        <v>9</v>
      </c>
      <c r="F586" s="14">
        <v>23059</v>
      </c>
      <c r="G586" s="14">
        <v>207531</v>
      </c>
      <c r="H586" s="13" t="s">
        <v>35</v>
      </c>
      <c r="I586" s="13" t="s">
        <v>36</v>
      </c>
    </row>
    <row r="587" spans="1:9" x14ac:dyDescent="0.3">
      <c r="A587" s="12">
        <v>45797</v>
      </c>
      <c r="B587" s="13" t="s">
        <v>23</v>
      </c>
      <c r="C587" s="13" t="s">
        <v>25</v>
      </c>
      <c r="D587" s="13" t="s">
        <v>24</v>
      </c>
      <c r="E587" s="13">
        <v>5</v>
      </c>
      <c r="F587" s="14">
        <v>56504</v>
      </c>
      <c r="G587" s="14">
        <v>282520</v>
      </c>
      <c r="H587" s="13" t="s">
        <v>35</v>
      </c>
      <c r="I587" s="13" t="s">
        <v>36</v>
      </c>
    </row>
    <row r="588" spans="1:9" x14ac:dyDescent="0.3">
      <c r="A588" s="12">
        <v>45797</v>
      </c>
      <c r="B588" s="13" t="s">
        <v>20</v>
      </c>
      <c r="C588" s="13" t="s">
        <v>19</v>
      </c>
      <c r="D588" s="13" t="s">
        <v>14</v>
      </c>
      <c r="E588" s="13">
        <v>9</v>
      </c>
      <c r="F588" s="14">
        <v>17922</v>
      </c>
      <c r="G588" s="14">
        <v>161298</v>
      </c>
      <c r="H588" s="13" t="s">
        <v>35</v>
      </c>
      <c r="I588" s="13" t="s">
        <v>36</v>
      </c>
    </row>
    <row r="589" spans="1:9" x14ac:dyDescent="0.3">
      <c r="A589" s="12">
        <v>45797</v>
      </c>
      <c r="B589" s="13" t="s">
        <v>20</v>
      </c>
      <c r="C589" s="13" t="s">
        <v>15</v>
      </c>
      <c r="D589" s="13" t="s">
        <v>11</v>
      </c>
      <c r="E589" s="13">
        <v>10</v>
      </c>
      <c r="F589" s="14">
        <v>22625</v>
      </c>
      <c r="G589" s="14">
        <v>226250</v>
      </c>
      <c r="H589" s="13" t="s">
        <v>35</v>
      </c>
      <c r="I589" s="13" t="s">
        <v>36</v>
      </c>
    </row>
    <row r="590" spans="1:9" x14ac:dyDescent="0.3">
      <c r="A590" s="12">
        <v>45798</v>
      </c>
      <c r="B590" s="13" t="s">
        <v>17</v>
      </c>
      <c r="C590" s="13" t="s">
        <v>21</v>
      </c>
      <c r="D590" s="13" t="s">
        <v>26</v>
      </c>
      <c r="E590" s="13">
        <v>10</v>
      </c>
      <c r="F590" s="14">
        <v>3665</v>
      </c>
      <c r="G590" s="14">
        <v>36650</v>
      </c>
      <c r="H590" s="13" t="s">
        <v>35</v>
      </c>
      <c r="I590" s="13" t="s">
        <v>36</v>
      </c>
    </row>
    <row r="591" spans="1:9" x14ac:dyDescent="0.3">
      <c r="A591" s="12">
        <v>45798</v>
      </c>
      <c r="B591" s="13" t="s">
        <v>17</v>
      </c>
      <c r="C591" s="13" t="s">
        <v>10</v>
      </c>
      <c r="D591" s="13" t="s">
        <v>16</v>
      </c>
      <c r="E591" s="13">
        <v>3</v>
      </c>
      <c r="F591" s="14">
        <v>11407</v>
      </c>
      <c r="G591" s="14">
        <v>34221</v>
      </c>
      <c r="H591" s="13" t="s">
        <v>35</v>
      </c>
      <c r="I591" s="13" t="s">
        <v>36</v>
      </c>
    </row>
    <row r="592" spans="1:9" x14ac:dyDescent="0.3">
      <c r="A592" s="12">
        <v>45798</v>
      </c>
      <c r="B592" s="13" t="s">
        <v>23</v>
      </c>
      <c r="C592" s="13" t="s">
        <v>25</v>
      </c>
      <c r="D592" s="13" t="s">
        <v>16</v>
      </c>
      <c r="E592" s="13">
        <v>9</v>
      </c>
      <c r="F592" s="14">
        <v>54155</v>
      </c>
      <c r="G592" s="14">
        <v>487395</v>
      </c>
      <c r="H592" s="13" t="s">
        <v>35</v>
      </c>
      <c r="I592" s="13" t="s">
        <v>36</v>
      </c>
    </row>
    <row r="593" spans="1:9" x14ac:dyDescent="0.3">
      <c r="A593" s="12">
        <v>45798</v>
      </c>
      <c r="B593" s="13" t="s">
        <v>9</v>
      </c>
      <c r="C593" s="13" t="s">
        <v>19</v>
      </c>
      <c r="D593" s="13" t="s">
        <v>28</v>
      </c>
      <c r="E593" s="13">
        <v>7</v>
      </c>
      <c r="F593" s="14">
        <v>18628</v>
      </c>
      <c r="G593" s="14">
        <v>130396</v>
      </c>
      <c r="H593" s="13" t="s">
        <v>35</v>
      </c>
      <c r="I593" s="13" t="s">
        <v>36</v>
      </c>
    </row>
    <row r="594" spans="1:9" x14ac:dyDescent="0.3">
      <c r="A594" s="12">
        <v>45798</v>
      </c>
      <c r="B594" s="13" t="s">
        <v>20</v>
      </c>
      <c r="C594" s="13" t="s">
        <v>25</v>
      </c>
      <c r="D594" s="13" t="s">
        <v>16</v>
      </c>
      <c r="E594" s="13">
        <v>9</v>
      </c>
      <c r="F594" s="14">
        <v>57657</v>
      </c>
      <c r="G594" s="14">
        <v>518913</v>
      </c>
      <c r="H594" s="13" t="s">
        <v>35</v>
      </c>
      <c r="I594" s="13" t="s">
        <v>36</v>
      </c>
    </row>
    <row r="595" spans="1:9" x14ac:dyDescent="0.3">
      <c r="A595" s="12">
        <v>45798</v>
      </c>
      <c r="B595" s="13" t="s">
        <v>23</v>
      </c>
      <c r="C595" s="13" t="s">
        <v>21</v>
      </c>
      <c r="D595" s="13" t="s">
        <v>28</v>
      </c>
      <c r="E595" s="13">
        <v>3</v>
      </c>
      <c r="F595" s="14">
        <v>3574</v>
      </c>
      <c r="G595" s="14">
        <v>10722</v>
      </c>
      <c r="H595" s="13" t="s">
        <v>35</v>
      </c>
      <c r="I595" s="13" t="s">
        <v>36</v>
      </c>
    </row>
    <row r="596" spans="1:9" x14ac:dyDescent="0.3">
      <c r="A596" s="12">
        <v>45799</v>
      </c>
      <c r="B596" s="13" t="s">
        <v>9</v>
      </c>
      <c r="C596" s="13" t="s">
        <v>15</v>
      </c>
      <c r="D596" s="13" t="s">
        <v>18</v>
      </c>
      <c r="E596" s="13">
        <v>6</v>
      </c>
      <c r="F596" s="14">
        <v>21908</v>
      </c>
      <c r="G596" s="14">
        <v>131448</v>
      </c>
      <c r="H596" s="13" t="s">
        <v>35</v>
      </c>
      <c r="I596" s="13" t="s">
        <v>36</v>
      </c>
    </row>
    <row r="597" spans="1:9" x14ac:dyDescent="0.3">
      <c r="A597" s="12">
        <v>45799</v>
      </c>
      <c r="B597" s="13" t="s">
        <v>9</v>
      </c>
      <c r="C597" s="13" t="s">
        <v>22</v>
      </c>
      <c r="D597" s="13" t="s">
        <v>14</v>
      </c>
      <c r="E597" s="13">
        <v>9</v>
      </c>
      <c r="F597" s="14">
        <v>7706</v>
      </c>
      <c r="G597" s="14">
        <v>69354</v>
      </c>
      <c r="H597" s="13" t="s">
        <v>35</v>
      </c>
      <c r="I597" s="13" t="s">
        <v>36</v>
      </c>
    </row>
    <row r="598" spans="1:9" x14ac:dyDescent="0.3">
      <c r="A598" s="12">
        <v>45800</v>
      </c>
      <c r="B598" s="13" t="s">
        <v>9</v>
      </c>
      <c r="C598" s="13" t="s">
        <v>22</v>
      </c>
      <c r="D598" s="13" t="s">
        <v>28</v>
      </c>
      <c r="E598" s="13">
        <v>7</v>
      </c>
      <c r="F598" s="14">
        <v>8129</v>
      </c>
      <c r="G598" s="14">
        <v>56903</v>
      </c>
      <c r="H598" s="13" t="s">
        <v>35</v>
      </c>
      <c r="I598" s="13" t="s">
        <v>36</v>
      </c>
    </row>
    <row r="599" spans="1:9" x14ac:dyDescent="0.3">
      <c r="A599" s="12">
        <v>45800</v>
      </c>
      <c r="B599" s="13" t="s">
        <v>17</v>
      </c>
      <c r="C599" s="13" t="s">
        <v>15</v>
      </c>
      <c r="D599" s="13" t="s">
        <v>11</v>
      </c>
      <c r="E599" s="13">
        <v>5</v>
      </c>
      <c r="F599" s="14">
        <v>22772</v>
      </c>
      <c r="G599" s="14">
        <v>113860</v>
      </c>
      <c r="H599" s="13" t="s">
        <v>35</v>
      </c>
      <c r="I599" s="13" t="s">
        <v>36</v>
      </c>
    </row>
    <row r="600" spans="1:9" x14ac:dyDescent="0.3">
      <c r="A600" s="12">
        <v>45800</v>
      </c>
      <c r="B600" s="13" t="s">
        <v>23</v>
      </c>
      <c r="C600" s="13" t="s">
        <v>10</v>
      </c>
      <c r="D600" s="13" t="s">
        <v>26</v>
      </c>
      <c r="E600" s="13">
        <v>6</v>
      </c>
      <c r="F600" s="14">
        <v>11943</v>
      </c>
      <c r="G600" s="14">
        <v>71658</v>
      </c>
      <c r="H600" s="13" t="s">
        <v>35</v>
      </c>
      <c r="I600" s="13" t="s">
        <v>36</v>
      </c>
    </row>
    <row r="601" spans="1:9" x14ac:dyDescent="0.3">
      <c r="A601" s="12">
        <v>45800</v>
      </c>
      <c r="B601" s="13" t="s">
        <v>17</v>
      </c>
      <c r="C601" s="13" t="s">
        <v>25</v>
      </c>
      <c r="D601" s="13" t="s">
        <v>16</v>
      </c>
      <c r="E601" s="13">
        <v>3</v>
      </c>
      <c r="F601" s="14">
        <v>56539</v>
      </c>
      <c r="G601" s="14">
        <v>169617</v>
      </c>
      <c r="H601" s="13" t="s">
        <v>35</v>
      </c>
      <c r="I601" s="13" t="s">
        <v>36</v>
      </c>
    </row>
    <row r="602" spans="1:9" x14ac:dyDescent="0.3">
      <c r="A602" s="12">
        <v>45800</v>
      </c>
      <c r="B602" s="13" t="s">
        <v>9</v>
      </c>
      <c r="C602" s="13" t="s">
        <v>15</v>
      </c>
      <c r="D602" s="13" t="s">
        <v>14</v>
      </c>
      <c r="E602" s="13">
        <v>3</v>
      </c>
      <c r="F602" s="14">
        <v>21889</v>
      </c>
      <c r="G602" s="14">
        <v>65667</v>
      </c>
      <c r="H602" s="13" t="s">
        <v>35</v>
      </c>
      <c r="I602" s="13" t="s">
        <v>36</v>
      </c>
    </row>
    <row r="603" spans="1:9" x14ac:dyDescent="0.3">
      <c r="A603" s="12">
        <v>45801</v>
      </c>
      <c r="B603" s="13" t="s">
        <v>23</v>
      </c>
      <c r="C603" s="13" t="s">
        <v>25</v>
      </c>
      <c r="D603" s="13" t="s">
        <v>26</v>
      </c>
      <c r="E603" s="13">
        <v>4</v>
      </c>
      <c r="F603" s="14">
        <v>54735</v>
      </c>
      <c r="G603" s="14">
        <v>218940</v>
      </c>
      <c r="H603" s="13" t="s">
        <v>35</v>
      </c>
      <c r="I603" s="13" t="s">
        <v>36</v>
      </c>
    </row>
    <row r="604" spans="1:9" x14ac:dyDescent="0.3">
      <c r="A604" s="12">
        <v>45801</v>
      </c>
      <c r="B604" s="13" t="s">
        <v>23</v>
      </c>
      <c r="C604" s="13" t="s">
        <v>19</v>
      </c>
      <c r="D604" s="13" t="s">
        <v>14</v>
      </c>
      <c r="E604" s="13">
        <v>2</v>
      </c>
      <c r="F604" s="14">
        <v>17383</v>
      </c>
      <c r="G604" s="14">
        <v>34766</v>
      </c>
      <c r="H604" s="13" t="s">
        <v>35</v>
      </c>
      <c r="I604" s="13" t="s">
        <v>36</v>
      </c>
    </row>
    <row r="605" spans="1:9" x14ac:dyDescent="0.3">
      <c r="A605" s="12">
        <v>45801</v>
      </c>
      <c r="B605" s="13" t="s">
        <v>20</v>
      </c>
      <c r="C605" s="13" t="s">
        <v>10</v>
      </c>
      <c r="D605" s="13" t="s">
        <v>28</v>
      </c>
      <c r="E605" s="13">
        <v>4</v>
      </c>
      <c r="F605" s="14">
        <v>12403</v>
      </c>
      <c r="G605" s="14">
        <v>49612</v>
      </c>
      <c r="H605" s="13" t="s">
        <v>35</v>
      </c>
      <c r="I605" s="13" t="s">
        <v>36</v>
      </c>
    </row>
    <row r="606" spans="1:9" x14ac:dyDescent="0.3">
      <c r="A606" s="12">
        <v>45801</v>
      </c>
      <c r="B606" s="13" t="s">
        <v>20</v>
      </c>
      <c r="C606" s="13" t="s">
        <v>15</v>
      </c>
      <c r="D606" s="13" t="s">
        <v>14</v>
      </c>
      <c r="E606" s="13">
        <v>4</v>
      </c>
      <c r="F606" s="14">
        <v>23030</v>
      </c>
      <c r="G606" s="14">
        <v>92120</v>
      </c>
      <c r="H606" s="13" t="s">
        <v>35</v>
      </c>
      <c r="I606" s="13" t="s">
        <v>36</v>
      </c>
    </row>
    <row r="607" spans="1:9" x14ac:dyDescent="0.3">
      <c r="A607" s="12">
        <v>45802</v>
      </c>
      <c r="B607" s="13" t="s">
        <v>9</v>
      </c>
      <c r="C607" s="13" t="s">
        <v>10</v>
      </c>
      <c r="D607" s="13" t="s">
        <v>11</v>
      </c>
      <c r="E607" s="13">
        <v>5</v>
      </c>
      <c r="F607" s="14">
        <v>12384</v>
      </c>
      <c r="G607" s="14">
        <v>61920</v>
      </c>
      <c r="H607" s="13" t="s">
        <v>35</v>
      </c>
      <c r="I607" s="13" t="s">
        <v>36</v>
      </c>
    </row>
    <row r="608" spans="1:9" x14ac:dyDescent="0.3">
      <c r="A608" s="12">
        <v>45802</v>
      </c>
      <c r="B608" s="13" t="s">
        <v>17</v>
      </c>
      <c r="C608" s="13" t="s">
        <v>25</v>
      </c>
      <c r="D608" s="13" t="s">
        <v>18</v>
      </c>
      <c r="E608" s="13">
        <v>8</v>
      </c>
      <c r="F608" s="14">
        <v>55307</v>
      </c>
      <c r="G608" s="14">
        <v>442456</v>
      </c>
      <c r="H608" s="13" t="s">
        <v>35</v>
      </c>
      <c r="I608" s="13" t="s">
        <v>36</v>
      </c>
    </row>
    <row r="609" spans="1:9" x14ac:dyDescent="0.3">
      <c r="A609" s="12">
        <v>45802</v>
      </c>
      <c r="B609" s="13" t="s">
        <v>17</v>
      </c>
      <c r="C609" s="13" t="s">
        <v>25</v>
      </c>
      <c r="D609" s="13" t="s">
        <v>24</v>
      </c>
      <c r="E609" s="13">
        <v>2</v>
      </c>
      <c r="F609" s="14">
        <v>56671</v>
      </c>
      <c r="G609" s="14">
        <v>113342</v>
      </c>
      <c r="H609" s="13" t="s">
        <v>35</v>
      </c>
      <c r="I609" s="13" t="s">
        <v>36</v>
      </c>
    </row>
    <row r="610" spans="1:9" x14ac:dyDescent="0.3">
      <c r="A610" s="12">
        <v>45802</v>
      </c>
      <c r="B610" s="13" t="s">
        <v>17</v>
      </c>
      <c r="C610" s="13" t="s">
        <v>25</v>
      </c>
      <c r="D610" s="13" t="s">
        <v>28</v>
      </c>
      <c r="E610" s="13">
        <v>1</v>
      </c>
      <c r="F610" s="14">
        <v>56817</v>
      </c>
      <c r="G610" s="14">
        <v>56817</v>
      </c>
      <c r="H610" s="13" t="s">
        <v>35</v>
      </c>
      <c r="I610" s="13" t="s">
        <v>36</v>
      </c>
    </row>
    <row r="611" spans="1:9" x14ac:dyDescent="0.3">
      <c r="A611" s="12">
        <v>45802</v>
      </c>
      <c r="B611" s="13" t="s">
        <v>17</v>
      </c>
      <c r="C611" s="13" t="s">
        <v>15</v>
      </c>
      <c r="D611" s="13" t="s">
        <v>16</v>
      </c>
      <c r="E611" s="13">
        <v>7</v>
      </c>
      <c r="F611" s="14">
        <v>21718</v>
      </c>
      <c r="G611" s="14">
        <v>152026</v>
      </c>
      <c r="H611" s="13" t="s">
        <v>35</v>
      </c>
      <c r="I611" s="13" t="s">
        <v>36</v>
      </c>
    </row>
    <row r="612" spans="1:9" x14ac:dyDescent="0.3">
      <c r="A612" s="12">
        <v>45803</v>
      </c>
      <c r="B612" s="13" t="s">
        <v>20</v>
      </c>
      <c r="C612" s="13" t="s">
        <v>25</v>
      </c>
      <c r="D612" s="13" t="s">
        <v>28</v>
      </c>
      <c r="E612" s="13">
        <v>2</v>
      </c>
      <c r="F612" s="14">
        <v>53337</v>
      </c>
      <c r="G612" s="14">
        <v>106674</v>
      </c>
      <c r="H612" s="13" t="s">
        <v>35</v>
      </c>
      <c r="I612" s="13" t="s">
        <v>36</v>
      </c>
    </row>
    <row r="613" spans="1:9" x14ac:dyDescent="0.3">
      <c r="A613" s="12">
        <v>45803</v>
      </c>
      <c r="B613" s="13" t="s">
        <v>23</v>
      </c>
      <c r="C613" s="13" t="s">
        <v>15</v>
      </c>
      <c r="D613" s="13" t="s">
        <v>14</v>
      </c>
      <c r="E613" s="13">
        <v>6</v>
      </c>
      <c r="F613" s="14">
        <v>21169</v>
      </c>
      <c r="G613" s="14">
        <v>127014</v>
      </c>
      <c r="H613" s="13" t="s">
        <v>35</v>
      </c>
      <c r="I613" s="13" t="s">
        <v>36</v>
      </c>
    </row>
    <row r="614" spans="1:9" x14ac:dyDescent="0.3">
      <c r="A614" s="12">
        <v>45804</v>
      </c>
      <c r="B614" s="13" t="s">
        <v>9</v>
      </c>
      <c r="C614" s="13" t="s">
        <v>15</v>
      </c>
      <c r="D614" s="13" t="s">
        <v>18</v>
      </c>
      <c r="E614" s="13">
        <v>7</v>
      </c>
      <c r="F614" s="14">
        <v>21991</v>
      </c>
      <c r="G614" s="14">
        <v>153937</v>
      </c>
      <c r="H614" s="13" t="s">
        <v>35</v>
      </c>
      <c r="I614" s="13" t="s">
        <v>36</v>
      </c>
    </row>
    <row r="615" spans="1:9" x14ac:dyDescent="0.3">
      <c r="A615" s="12">
        <v>45804</v>
      </c>
      <c r="B615" s="13" t="s">
        <v>23</v>
      </c>
      <c r="C615" s="13" t="s">
        <v>10</v>
      </c>
      <c r="D615" s="13" t="s">
        <v>18</v>
      </c>
      <c r="E615" s="13">
        <v>3</v>
      </c>
      <c r="F615" s="14">
        <v>11824</v>
      </c>
      <c r="G615" s="14">
        <v>35472</v>
      </c>
      <c r="H615" s="13" t="s">
        <v>35</v>
      </c>
      <c r="I615" s="13" t="s">
        <v>36</v>
      </c>
    </row>
    <row r="616" spans="1:9" x14ac:dyDescent="0.3">
      <c r="A616" s="12">
        <v>45804</v>
      </c>
      <c r="B616" s="13" t="s">
        <v>17</v>
      </c>
      <c r="C616" s="13" t="s">
        <v>19</v>
      </c>
      <c r="D616" s="13" t="s">
        <v>11</v>
      </c>
      <c r="E616" s="13">
        <v>8</v>
      </c>
      <c r="F616" s="14">
        <v>18690</v>
      </c>
      <c r="G616" s="14">
        <v>149520</v>
      </c>
      <c r="H616" s="13" t="s">
        <v>35</v>
      </c>
      <c r="I616" s="13" t="s">
        <v>36</v>
      </c>
    </row>
    <row r="617" spans="1:9" x14ac:dyDescent="0.3">
      <c r="A617" s="12">
        <v>45804</v>
      </c>
      <c r="B617" s="13" t="s">
        <v>9</v>
      </c>
      <c r="C617" s="13" t="s">
        <v>22</v>
      </c>
      <c r="D617" s="13" t="s">
        <v>16</v>
      </c>
      <c r="E617" s="13">
        <v>5</v>
      </c>
      <c r="F617" s="14">
        <v>7999</v>
      </c>
      <c r="G617" s="14">
        <v>39995</v>
      </c>
      <c r="H617" s="13" t="s">
        <v>35</v>
      </c>
      <c r="I617" s="13" t="s">
        <v>36</v>
      </c>
    </row>
    <row r="618" spans="1:9" x14ac:dyDescent="0.3">
      <c r="A618" s="12">
        <v>45804</v>
      </c>
      <c r="B618" s="13" t="s">
        <v>23</v>
      </c>
      <c r="C618" s="13" t="s">
        <v>25</v>
      </c>
      <c r="D618" s="13" t="s">
        <v>14</v>
      </c>
      <c r="E618" s="13">
        <v>5</v>
      </c>
      <c r="F618" s="14">
        <v>54356</v>
      </c>
      <c r="G618" s="14">
        <v>271780</v>
      </c>
      <c r="H618" s="13" t="s">
        <v>35</v>
      </c>
      <c r="I618" s="13" t="s">
        <v>36</v>
      </c>
    </row>
    <row r="619" spans="1:9" x14ac:dyDescent="0.3">
      <c r="A619" s="12">
        <v>45805</v>
      </c>
      <c r="B619" s="13" t="s">
        <v>17</v>
      </c>
      <c r="C619" s="13" t="s">
        <v>10</v>
      </c>
      <c r="D619" s="13" t="s">
        <v>16</v>
      </c>
      <c r="E619" s="13">
        <v>9</v>
      </c>
      <c r="F619" s="14">
        <v>12353</v>
      </c>
      <c r="G619" s="14">
        <v>111177</v>
      </c>
      <c r="H619" s="13" t="s">
        <v>35</v>
      </c>
      <c r="I619" s="13" t="s">
        <v>36</v>
      </c>
    </row>
    <row r="620" spans="1:9" x14ac:dyDescent="0.3">
      <c r="A620" s="12">
        <v>45805</v>
      </c>
      <c r="B620" s="13" t="s">
        <v>23</v>
      </c>
      <c r="C620" s="13" t="s">
        <v>10</v>
      </c>
      <c r="D620" s="13" t="s">
        <v>26</v>
      </c>
      <c r="E620" s="13">
        <v>8</v>
      </c>
      <c r="F620" s="14">
        <v>12053</v>
      </c>
      <c r="G620" s="14">
        <v>96424</v>
      </c>
      <c r="H620" s="13" t="s">
        <v>35</v>
      </c>
      <c r="I620" s="13" t="s">
        <v>36</v>
      </c>
    </row>
    <row r="621" spans="1:9" x14ac:dyDescent="0.3">
      <c r="A621" s="12">
        <v>45805</v>
      </c>
      <c r="B621" s="13" t="s">
        <v>23</v>
      </c>
      <c r="C621" s="13" t="s">
        <v>19</v>
      </c>
      <c r="D621" s="13" t="s">
        <v>26</v>
      </c>
      <c r="E621" s="13">
        <v>7</v>
      </c>
      <c r="F621" s="14">
        <v>17586</v>
      </c>
      <c r="G621" s="14">
        <v>123102</v>
      </c>
      <c r="H621" s="13" t="s">
        <v>35</v>
      </c>
      <c r="I621" s="13" t="s">
        <v>36</v>
      </c>
    </row>
    <row r="622" spans="1:9" x14ac:dyDescent="0.3">
      <c r="A622" s="12">
        <v>45805</v>
      </c>
      <c r="B622" s="13" t="s">
        <v>9</v>
      </c>
      <c r="C622" s="13" t="s">
        <v>19</v>
      </c>
      <c r="D622" s="13" t="s">
        <v>16</v>
      </c>
      <c r="E622" s="13">
        <v>1</v>
      </c>
      <c r="F622" s="14">
        <v>18712</v>
      </c>
      <c r="G622" s="14">
        <v>18712</v>
      </c>
      <c r="H622" s="13" t="s">
        <v>35</v>
      </c>
      <c r="I622" s="13" t="s">
        <v>36</v>
      </c>
    </row>
    <row r="623" spans="1:9" x14ac:dyDescent="0.3">
      <c r="A623" s="12">
        <v>45805</v>
      </c>
      <c r="B623" s="13" t="s">
        <v>20</v>
      </c>
      <c r="C623" s="13" t="s">
        <v>25</v>
      </c>
      <c r="D623" s="13" t="s">
        <v>24</v>
      </c>
      <c r="E623" s="13">
        <v>9</v>
      </c>
      <c r="F623" s="14">
        <v>54215</v>
      </c>
      <c r="G623" s="14">
        <v>487935</v>
      </c>
      <c r="H623" s="13" t="s">
        <v>35</v>
      </c>
      <c r="I623" s="13" t="s">
        <v>36</v>
      </c>
    </row>
    <row r="624" spans="1:9" x14ac:dyDescent="0.3">
      <c r="A624" s="12">
        <v>45806</v>
      </c>
      <c r="B624" s="13" t="s">
        <v>17</v>
      </c>
      <c r="C624" s="13" t="s">
        <v>15</v>
      </c>
      <c r="D624" s="13" t="s">
        <v>14</v>
      </c>
      <c r="E624" s="13">
        <v>4</v>
      </c>
      <c r="F624" s="14">
        <v>22345</v>
      </c>
      <c r="G624" s="14">
        <v>89380</v>
      </c>
      <c r="H624" s="13" t="s">
        <v>35</v>
      </c>
      <c r="I624" s="13" t="s">
        <v>36</v>
      </c>
    </row>
    <row r="625" spans="1:9" x14ac:dyDescent="0.3">
      <c r="A625" s="12">
        <v>45806</v>
      </c>
      <c r="B625" s="13" t="s">
        <v>20</v>
      </c>
      <c r="C625" s="13" t="s">
        <v>22</v>
      </c>
      <c r="D625" s="13" t="s">
        <v>28</v>
      </c>
      <c r="E625" s="13">
        <v>4</v>
      </c>
      <c r="F625" s="14">
        <v>8060</v>
      </c>
      <c r="G625" s="14">
        <v>32240</v>
      </c>
      <c r="H625" s="13" t="s">
        <v>35</v>
      </c>
      <c r="I625" s="13" t="s">
        <v>36</v>
      </c>
    </row>
    <row r="626" spans="1:9" x14ac:dyDescent="0.3">
      <c r="A626" s="12">
        <v>45806</v>
      </c>
      <c r="B626" s="13" t="s">
        <v>23</v>
      </c>
      <c r="C626" s="13" t="s">
        <v>19</v>
      </c>
      <c r="D626" s="13" t="s">
        <v>27</v>
      </c>
      <c r="E626" s="13">
        <v>3</v>
      </c>
      <c r="F626" s="14">
        <v>17525</v>
      </c>
      <c r="G626" s="14">
        <v>52575</v>
      </c>
      <c r="H626" s="13" t="s">
        <v>35</v>
      </c>
      <c r="I626" s="13" t="s">
        <v>36</v>
      </c>
    </row>
    <row r="627" spans="1:9" x14ac:dyDescent="0.3">
      <c r="A627" s="12">
        <v>45806</v>
      </c>
      <c r="B627" s="13" t="s">
        <v>20</v>
      </c>
      <c r="C627" s="13" t="s">
        <v>10</v>
      </c>
      <c r="D627" s="13" t="s">
        <v>26</v>
      </c>
      <c r="E627" s="13">
        <v>10</v>
      </c>
      <c r="F627" s="14">
        <v>11433</v>
      </c>
      <c r="G627" s="14">
        <v>114330</v>
      </c>
      <c r="H627" s="13" t="s">
        <v>35</v>
      </c>
      <c r="I627" s="13" t="s">
        <v>36</v>
      </c>
    </row>
    <row r="628" spans="1:9" x14ac:dyDescent="0.3">
      <c r="A628" s="12">
        <v>45806</v>
      </c>
      <c r="B628" s="13" t="s">
        <v>20</v>
      </c>
      <c r="C628" s="13" t="s">
        <v>22</v>
      </c>
      <c r="D628" s="13" t="s">
        <v>27</v>
      </c>
      <c r="E628" s="13">
        <v>10</v>
      </c>
      <c r="F628" s="14">
        <v>8358</v>
      </c>
      <c r="G628" s="14">
        <v>83580</v>
      </c>
      <c r="H628" s="13" t="s">
        <v>35</v>
      </c>
      <c r="I628" s="13" t="s">
        <v>36</v>
      </c>
    </row>
    <row r="629" spans="1:9" x14ac:dyDescent="0.3">
      <c r="A629" s="12">
        <v>45806</v>
      </c>
      <c r="B629" s="13" t="s">
        <v>23</v>
      </c>
      <c r="C629" s="13" t="s">
        <v>22</v>
      </c>
      <c r="D629" s="13" t="s">
        <v>11</v>
      </c>
      <c r="E629" s="13">
        <v>3</v>
      </c>
      <c r="F629" s="14">
        <v>7992</v>
      </c>
      <c r="G629" s="14">
        <v>23976</v>
      </c>
      <c r="H629" s="13" t="s">
        <v>35</v>
      </c>
      <c r="I629" s="13" t="s">
        <v>36</v>
      </c>
    </row>
    <row r="630" spans="1:9" x14ac:dyDescent="0.3">
      <c r="A630" s="12">
        <v>45807</v>
      </c>
      <c r="B630" s="13" t="s">
        <v>9</v>
      </c>
      <c r="C630" s="13" t="s">
        <v>15</v>
      </c>
      <c r="D630" s="13" t="s">
        <v>16</v>
      </c>
      <c r="E630" s="13">
        <v>1</v>
      </c>
      <c r="F630" s="14">
        <v>22058</v>
      </c>
      <c r="G630" s="14">
        <v>22058</v>
      </c>
      <c r="H630" s="13" t="s">
        <v>35</v>
      </c>
      <c r="I630" s="13" t="s">
        <v>36</v>
      </c>
    </row>
    <row r="631" spans="1:9" x14ac:dyDescent="0.3">
      <c r="A631" s="12">
        <v>45807</v>
      </c>
      <c r="B631" s="13" t="s">
        <v>9</v>
      </c>
      <c r="C631" s="13" t="s">
        <v>19</v>
      </c>
      <c r="D631" s="13" t="s">
        <v>16</v>
      </c>
      <c r="E631" s="13">
        <v>3</v>
      </c>
      <c r="F631" s="14">
        <v>17713</v>
      </c>
      <c r="G631" s="14">
        <v>53139</v>
      </c>
      <c r="H631" s="13" t="s">
        <v>35</v>
      </c>
      <c r="I631" s="13" t="s">
        <v>36</v>
      </c>
    </row>
    <row r="632" spans="1:9" x14ac:dyDescent="0.3">
      <c r="A632" s="12">
        <v>45808</v>
      </c>
      <c r="B632" s="13" t="s">
        <v>20</v>
      </c>
      <c r="C632" s="13" t="s">
        <v>25</v>
      </c>
      <c r="D632" s="13" t="s">
        <v>28</v>
      </c>
      <c r="E632" s="13">
        <v>3</v>
      </c>
      <c r="F632" s="14">
        <v>55476</v>
      </c>
      <c r="G632" s="14">
        <v>166428</v>
      </c>
      <c r="H632" s="13" t="s">
        <v>35</v>
      </c>
      <c r="I632" s="13" t="s">
        <v>36</v>
      </c>
    </row>
    <row r="633" spans="1:9" x14ac:dyDescent="0.3">
      <c r="A633" s="12">
        <v>45808</v>
      </c>
      <c r="B633" s="13" t="s">
        <v>17</v>
      </c>
      <c r="C633" s="13" t="s">
        <v>25</v>
      </c>
      <c r="D633" s="13" t="s">
        <v>26</v>
      </c>
      <c r="E633" s="13">
        <v>2</v>
      </c>
      <c r="F633" s="14">
        <v>54304</v>
      </c>
      <c r="G633" s="14">
        <v>108608</v>
      </c>
      <c r="H633" s="13" t="s">
        <v>35</v>
      </c>
      <c r="I633" s="13" t="s">
        <v>36</v>
      </c>
    </row>
    <row r="634" spans="1:9" x14ac:dyDescent="0.3">
      <c r="A634" s="12">
        <v>45808</v>
      </c>
      <c r="B634" s="13" t="s">
        <v>23</v>
      </c>
      <c r="C634" s="13" t="s">
        <v>22</v>
      </c>
      <c r="D634" s="13" t="s">
        <v>14</v>
      </c>
      <c r="E634" s="13">
        <v>6</v>
      </c>
      <c r="F634" s="14">
        <v>7841</v>
      </c>
      <c r="G634" s="14">
        <v>47046</v>
      </c>
      <c r="H634" s="13" t="s">
        <v>35</v>
      </c>
      <c r="I634" s="13" t="s">
        <v>36</v>
      </c>
    </row>
    <row r="635" spans="1:9" x14ac:dyDescent="0.3">
      <c r="A635" s="12">
        <v>45809</v>
      </c>
      <c r="B635" s="13" t="s">
        <v>17</v>
      </c>
      <c r="C635" s="13" t="s">
        <v>10</v>
      </c>
      <c r="D635" s="13" t="s">
        <v>18</v>
      </c>
      <c r="E635" s="13">
        <v>8</v>
      </c>
      <c r="F635" s="14">
        <v>12179</v>
      </c>
      <c r="G635" s="14">
        <v>97432</v>
      </c>
      <c r="H635" s="13" t="s">
        <v>37</v>
      </c>
      <c r="I635" s="13" t="s">
        <v>38</v>
      </c>
    </row>
    <row r="636" spans="1:9" x14ac:dyDescent="0.3">
      <c r="A636" s="12">
        <v>45809</v>
      </c>
      <c r="B636" s="13" t="s">
        <v>17</v>
      </c>
      <c r="C636" s="13" t="s">
        <v>10</v>
      </c>
      <c r="D636" s="13" t="s">
        <v>26</v>
      </c>
      <c r="E636" s="13">
        <v>4</v>
      </c>
      <c r="F636" s="14">
        <v>12198</v>
      </c>
      <c r="G636" s="14">
        <v>48792</v>
      </c>
      <c r="H636" s="13" t="s">
        <v>37</v>
      </c>
      <c r="I636" s="13" t="s">
        <v>38</v>
      </c>
    </row>
    <row r="637" spans="1:9" x14ac:dyDescent="0.3">
      <c r="A637" s="12">
        <v>45809</v>
      </c>
      <c r="B637" s="13" t="s">
        <v>17</v>
      </c>
      <c r="C637" s="13" t="s">
        <v>21</v>
      </c>
      <c r="D637" s="13" t="s">
        <v>11</v>
      </c>
      <c r="E637" s="13">
        <v>5</v>
      </c>
      <c r="F637" s="14">
        <v>3369</v>
      </c>
      <c r="G637" s="14">
        <v>16845</v>
      </c>
      <c r="H637" s="13" t="s">
        <v>37</v>
      </c>
      <c r="I637" s="13" t="s">
        <v>38</v>
      </c>
    </row>
    <row r="638" spans="1:9" x14ac:dyDescent="0.3">
      <c r="A638" s="12">
        <v>45810</v>
      </c>
      <c r="B638" s="13" t="s">
        <v>23</v>
      </c>
      <c r="C638" s="13" t="s">
        <v>22</v>
      </c>
      <c r="D638" s="13" t="s">
        <v>28</v>
      </c>
      <c r="E638" s="13">
        <v>3</v>
      </c>
      <c r="F638" s="14">
        <v>8081</v>
      </c>
      <c r="G638" s="14">
        <v>24243</v>
      </c>
      <c r="H638" s="13" t="s">
        <v>37</v>
      </c>
      <c r="I638" s="13" t="s">
        <v>38</v>
      </c>
    </row>
    <row r="639" spans="1:9" x14ac:dyDescent="0.3">
      <c r="A639" s="12">
        <v>45810</v>
      </c>
      <c r="B639" s="13" t="s">
        <v>17</v>
      </c>
      <c r="C639" s="13" t="s">
        <v>10</v>
      </c>
      <c r="D639" s="13" t="s">
        <v>14</v>
      </c>
      <c r="E639" s="13">
        <v>8</v>
      </c>
      <c r="F639" s="14">
        <v>11568</v>
      </c>
      <c r="G639" s="14">
        <v>92544</v>
      </c>
      <c r="H639" s="13" t="s">
        <v>37</v>
      </c>
      <c r="I639" s="13" t="s">
        <v>38</v>
      </c>
    </row>
    <row r="640" spans="1:9" x14ac:dyDescent="0.3">
      <c r="A640" s="12">
        <v>45811</v>
      </c>
      <c r="B640" s="13" t="s">
        <v>17</v>
      </c>
      <c r="C640" s="13" t="s">
        <v>19</v>
      </c>
      <c r="D640" s="13" t="s">
        <v>26</v>
      </c>
      <c r="E640" s="13">
        <v>3</v>
      </c>
      <c r="F640" s="14">
        <v>18245</v>
      </c>
      <c r="G640" s="14">
        <v>54735</v>
      </c>
      <c r="H640" s="13" t="s">
        <v>37</v>
      </c>
      <c r="I640" s="13" t="s">
        <v>38</v>
      </c>
    </row>
    <row r="641" spans="1:9" x14ac:dyDescent="0.3">
      <c r="A641" s="12">
        <v>45811</v>
      </c>
      <c r="B641" s="13" t="s">
        <v>9</v>
      </c>
      <c r="C641" s="13" t="s">
        <v>10</v>
      </c>
      <c r="D641" s="13" t="s">
        <v>26</v>
      </c>
      <c r="E641" s="13">
        <v>8</v>
      </c>
      <c r="F641" s="14">
        <v>11413</v>
      </c>
      <c r="G641" s="14">
        <v>91304</v>
      </c>
      <c r="H641" s="13" t="s">
        <v>37</v>
      </c>
      <c r="I641" s="13" t="s">
        <v>38</v>
      </c>
    </row>
    <row r="642" spans="1:9" x14ac:dyDescent="0.3">
      <c r="A642" s="12">
        <v>45812</v>
      </c>
      <c r="B642" s="13" t="s">
        <v>17</v>
      </c>
      <c r="C642" s="13" t="s">
        <v>10</v>
      </c>
      <c r="D642" s="13" t="s">
        <v>14</v>
      </c>
      <c r="E642" s="13">
        <v>6</v>
      </c>
      <c r="F642" s="14">
        <v>11707</v>
      </c>
      <c r="G642" s="14">
        <v>70242</v>
      </c>
      <c r="H642" s="13" t="s">
        <v>37</v>
      </c>
      <c r="I642" s="13" t="s">
        <v>38</v>
      </c>
    </row>
    <row r="643" spans="1:9" x14ac:dyDescent="0.3">
      <c r="A643" s="12">
        <v>45812</v>
      </c>
      <c r="B643" s="13" t="s">
        <v>9</v>
      </c>
      <c r="C643" s="13" t="s">
        <v>10</v>
      </c>
      <c r="D643" s="13" t="s">
        <v>28</v>
      </c>
      <c r="E643" s="13">
        <v>1</v>
      </c>
      <c r="F643" s="14">
        <v>11863</v>
      </c>
      <c r="G643" s="14">
        <v>11863</v>
      </c>
      <c r="H643" s="13" t="s">
        <v>37</v>
      </c>
      <c r="I643" s="13" t="s">
        <v>38</v>
      </c>
    </row>
    <row r="644" spans="1:9" x14ac:dyDescent="0.3">
      <c r="A644" s="12">
        <v>45812</v>
      </c>
      <c r="B644" s="13" t="s">
        <v>23</v>
      </c>
      <c r="C644" s="13" t="s">
        <v>15</v>
      </c>
      <c r="D644" s="13" t="s">
        <v>18</v>
      </c>
      <c r="E644" s="13">
        <v>8</v>
      </c>
      <c r="F644" s="14">
        <v>22839</v>
      </c>
      <c r="G644" s="14">
        <v>182712</v>
      </c>
      <c r="H644" s="13" t="s">
        <v>37</v>
      </c>
      <c r="I644" s="13" t="s">
        <v>38</v>
      </c>
    </row>
    <row r="645" spans="1:9" x14ac:dyDescent="0.3">
      <c r="A645" s="12">
        <v>45813</v>
      </c>
      <c r="B645" s="13" t="s">
        <v>23</v>
      </c>
      <c r="C645" s="13" t="s">
        <v>25</v>
      </c>
      <c r="D645" s="13" t="s">
        <v>24</v>
      </c>
      <c r="E645" s="13">
        <v>10</v>
      </c>
      <c r="F645" s="14">
        <v>55830</v>
      </c>
      <c r="G645" s="14">
        <v>558300</v>
      </c>
      <c r="H645" s="13" t="s">
        <v>37</v>
      </c>
      <c r="I645" s="13" t="s">
        <v>38</v>
      </c>
    </row>
    <row r="646" spans="1:9" x14ac:dyDescent="0.3">
      <c r="A646" s="12">
        <v>45813</v>
      </c>
      <c r="B646" s="13" t="s">
        <v>17</v>
      </c>
      <c r="C646" s="13" t="s">
        <v>15</v>
      </c>
      <c r="D646" s="13" t="s">
        <v>24</v>
      </c>
      <c r="E646" s="13">
        <v>2</v>
      </c>
      <c r="F646" s="14">
        <v>22658</v>
      </c>
      <c r="G646" s="14">
        <v>45316</v>
      </c>
      <c r="H646" s="13" t="s">
        <v>37</v>
      </c>
      <c r="I646" s="13" t="s">
        <v>38</v>
      </c>
    </row>
    <row r="647" spans="1:9" x14ac:dyDescent="0.3">
      <c r="A647" s="12">
        <v>45813</v>
      </c>
      <c r="B647" s="13" t="s">
        <v>9</v>
      </c>
      <c r="C647" s="13" t="s">
        <v>19</v>
      </c>
      <c r="D647" s="13" t="s">
        <v>28</v>
      </c>
      <c r="E647" s="13">
        <v>6</v>
      </c>
      <c r="F647" s="14">
        <v>17570</v>
      </c>
      <c r="G647" s="14">
        <v>105420</v>
      </c>
      <c r="H647" s="13" t="s">
        <v>37</v>
      </c>
      <c r="I647" s="13" t="s">
        <v>38</v>
      </c>
    </row>
    <row r="648" spans="1:9" x14ac:dyDescent="0.3">
      <c r="A648" s="12">
        <v>45813</v>
      </c>
      <c r="B648" s="13" t="s">
        <v>9</v>
      </c>
      <c r="C648" s="13" t="s">
        <v>25</v>
      </c>
      <c r="D648" s="13" t="s">
        <v>26</v>
      </c>
      <c r="E648" s="13">
        <v>3</v>
      </c>
      <c r="F648" s="14">
        <v>57133</v>
      </c>
      <c r="G648" s="14">
        <v>171399</v>
      </c>
      <c r="H648" s="13" t="s">
        <v>37</v>
      </c>
      <c r="I648" s="13" t="s">
        <v>38</v>
      </c>
    </row>
    <row r="649" spans="1:9" x14ac:dyDescent="0.3">
      <c r="A649" s="12">
        <v>45814</v>
      </c>
      <c r="B649" s="13" t="s">
        <v>9</v>
      </c>
      <c r="C649" s="13" t="s">
        <v>22</v>
      </c>
      <c r="D649" s="13" t="s">
        <v>14</v>
      </c>
      <c r="E649" s="13">
        <v>6</v>
      </c>
      <c r="F649" s="14">
        <v>8075</v>
      </c>
      <c r="G649" s="14">
        <v>48450</v>
      </c>
      <c r="H649" s="13" t="s">
        <v>37</v>
      </c>
      <c r="I649" s="13" t="s">
        <v>38</v>
      </c>
    </row>
    <row r="650" spans="1:9" x14ac:dyDescent="0.3">
      <c r="A650" s="12">
        <v>45814</v>
      </c>
      <c r="B650" s="13" t="s">
        <v>23</v>
      </c>
      <c r="C650" s="13" t="s">
        <v>10</v>
      </c>
      <c r="D650" s="13" t="s">
        <v>28</v>
      </c>
      <c r="E650" s="13">
        <v>7</v>
      </c>
      <c r="F650" s="14">
        <v>12530</v>
      </c>
      <c r="G650" s="14">
        <v>87710</v>
      </c>
      <c r="H650" s="13" t="s">
        <v>37</v>
      </c>
      <c r="I650" s="13" t="s">
        <v>38</v>
      </c>
    </row>
    <row r="651" spans="1:9" x14ac:dyDescent="0.3">
      <c r="A651" s="12">
        <v>45814</v>
      </c>
      <c r="B651" s="13" t="s">
        <v>17</v>
      </c>
      <c r="C651" s="13" t="s">
        <v>22</v>
      </c>
      <c r="D651" s="13" t="s">
        <v>18</v>
      </c>
      <c r="E651" s="13">
        <v>3</v>
      </c>
      <c r="F651" s="14">
        <v>7642</v>
      </c>
      <c r="G651" s="14">
        <v>22926</v>
      </c>
      <c r="H651" s="13" t="s">
        <v>37</v>
      </c>
      <c r="I651" s="13" t="s">
        <v>38</v>
      </c>
    </row>
    <row r="652" spans="1:9" x14ac:dyDescent="0.3">
      <c r="A652" s="12">
        <v>45815</v>
      </c>
      <c r="B652" s="13" t="s">
        <v>17</v>
      </c>
      <c r="C652" s="13" t="s">
        <v>15</v>
      </c>
      <c r="D652" s="13" t="s">
        <v>18</v>
      </c>
      <c r="E652" s="13">
        <v>9</v>
      </c>
      <c r="F652" s="14">
        <v>22488</v>
      </c>
      <c r="G652" s="14">
        <v>202392</v>
      </c>
      <c r="H652" s="13" t="s">
        <v>37</v>
      </c>
      <c r="I652" s="13" t="s">
        <v>38</v>
      </c>
    </row>
    <row r="653" spans="1:9" x14ac:dyDescent="0.3">
      <c r="A653" s="12">
        <v>45815</v>
      </c>
      <c r="B653" s="13" t="s">
        <v>20</v>
      </c>
      <c r="C653" s="13" t="s">
        <v>10</v>
      </c>
      <c r="D653" s="13" t="s">
        <v>11</v>
      </c>
      <c r="E653" s="13">
        <v>5</v>
      </c>
      <c r="F653" s="14">
        <v>11685</v>
      </c>
      <c r="G653" s="14">
        <v>58425</v>
      </c>
      <c r="H653" s="13" t="s">
        <v>37</v>
      </c>
      <c r="I653" s="13" t="s">
        <v>38</v>
      </c>
    </row>
    <row r="654" spans="1:9" x14ac:dyDescent="0.3">
      <c r="A654" s="12">
        <v>45815</v>
      </c>
      <c r="B654" s="13" t="s">
        <v>9</v>
      </c>
      <c r="C654" s="13" t="s">
        <v>21</v>
      </c>
      <c r="D654" s="13" t="s">
        <v>24</v>
      </c>
      <c r="E654" s="13">
        <v>3</v>
      </c>
      <c r="F654" s="14">
        <v>3344</v>
      </c>
      <c r="G654" s="14">
        <v>10032</v>
      </c>
      <c r="H654" s="13" t="s">
        <v>37</v>
      </c>
      <c r="I654" s="13" t="s">
        <v>38</v>
      </c>
    </row>
    <row r="655" spans="1:9" x14ac:dyDescent="0.3">
      <c r="A655" s="12">
        <v>45815</v>
      </c>
      <c r="B655" s="13" t="s">
        <v>9</v>
      </c>
      <c r="C655" s="13" t="s">
        <v>21</v>
      </c>
      <c r="D655" s="13" t="s">
        <v>14</v>
      </c>
      <c r="E655" s="13">
        <v>5</v>
      </c>
      <c r="F655" s="14">
        <v>3613</v>
      </c>
      <c r="G655" s="14">
        <v>18065</v>
      </c>
      <c r="H655" s="13" t="s">
        <v>37</v>
      </c>
      <c r="I655" s="13" t="s">
        <v>38</v>
      </c>
    </row>
    <row r="656" spans="1:9" x14ac:dyDescent="0.3">
      <c r="A656" s="12">
        <v>45816</v>
      </c>
      <c r="B656" s="13" t="s">
        <v>23</v>
      </c>
      <c r="C656" s="13" t="s">
        <v>15</v>
      </c>
      <c r="D656" s="13" t="s">
        <v>14</v>
      </c>
      <c r="E656" s="13">
        <v>1</v>
      </c>
      <c r="F656" s="14">
        <v>21355</v>
      </c>
      <c r="G656" s="14">
        <v>21355</v>
      </c>
      <c r="H656" s="13" t="s">
        <v>37</v>
      </c>
      <c r="I656" s="13" t="s">
        <v>38</v>
      </c>
    </row>
    <row r="657" spans="1:9" x14ac:dyDescent="0.3">
      <c r="A657" s="12">
        <v>45816</v>
      </c>
      <c r="B657" s="13" t="s">
        <v>20</v>
      </c>
      <c r="C657" s="13" t="s">
        <v>25</v>
      </c>
      <c r="D657" s="13" t="s">
        <v>24</v>
      </c>
      <c r="E657" s="13">
        <v>2</v>
      </c>
      <c r="F657" s="14">
        <v>53945</v>
      </c>
      <c r="G657" s="14">
        <v>107890</v>
      </c>
      <c r="H657" s="13" t="s">
        <v>37</v>
      </c>
      <c r="I657" s="13" t="s">
        <v>38</v>
      </c>
    </row>
    <row r="658" spans="1:9" x14ac:dyDescent="0.3">
      <c r="A658" s="12">
        <v>45816</v>
      </c>
      <c r="B658" s="13" t="s">
        <v>23</v>
      </c>
      <c r="C658" s="13" t="s">
        <v>21</v>
      </c>
      <c r="D658" s="13" t="s">
        <v>24</v>
      </c>
      <c r="E658" s="13">
        <v>5</v>
      </c>
      <c r="F658" s="14">
        <v>3356</v>
      </c>
      <c r="G658" s="14">
        <v>16780</v>
      </c>
      <c r="H658" s="13" t="s">
        <v>37</v>
      </c>
      <c r="I658" s="13" t="s">
        <v>38</v>
      </c>
    </row>
    <row r="659" spans="1:9" x14ac:dyDescent="0.3">
      <c r="A659" s="12">
        <v>45816</v>
      </c>
      <c r="B659" s="13" t="s">
        <v>23</v>
      </c>
      <c r="C659" s="13" t="s">
        <v>15</v>
      </c>
      <c r="D659" s="13" t="s">
        <v>26</v>
      </c>
      <c r="E659" s="13">
        <v>7</v>
      </c>
      <c r="F659" s="14">
        <v>21712</v>
      </c>
      <c r="G659" s="14">
        <v>151984</v>
      </c>
      <c r="H659" s="13" t="s">
        <v>37</v>
      </c>
      <c r="I659" s="13" t="s">
        <v>38</v>
      </c>
    </row>
    <row r="660" spans="1:9" x14ac:dyDescent="0.3">
      <c r="A660" s="12">
        <v>45816</v>
      </c>
      <c r="B660" s="13" t="s">
        <v>23</v>
      </c>
      <c r="C660" s="13" t="s">
        <v>25</v>
      </c>
      <c r="D660" s="13" t="s">
        <v>11</v>
      </c>
      <c r="E660" s="13">
        <v>8</v>
      </c>
      <c r="F660" s="14">
        <v>54807</v>
      </c>
      <c r="G660" s="14">
        <v>438456</v>
      </c>
      <c r="H660" s="13" t="s">
        <v>37</v>
      </c>
      <c r="I660" s="13" t="s">
        <v>38</v>
      </c>
    </row>
    <row r="661" spans="1:9" x14ac:dyDescent="0.3">
      <c r="A661" s="12">
        <v>45816</v>
      </c>
      <c r="B661" s="13" t="s">
        <v>17</v>
      </c>
      <c r="C661" s="13" t="s">
        <v>19</v>
      </c>
      <c r="D661" s="13" t="s">
        <v>28</v>
      </c>
      <c r="E661" s="13">
        <v>3</v>
      </c>
      <c r="F661" s="14">
        <v>18454</v>
      </c>
      <c r="G661" s="14">
        <v>55362</v>
      </c>
      <c r="H661" s="13" t="s">
        <v>37</v>
      </c>
      <c r="I661" s="13" t="s">
        <v>38</v>
      </c>
    </row>
    <row r="662" spans="1:9" x14ac:dyDescent="0.3">
      <c r="A662" s="12">
        <v>45817</v>
      </c>
      <c r="B662" s="13" t="s">
        <v>9</v>
      </c>
      <c r="C662" s="13" t="s">
        <v>10</v>
      </c>
      <c r="D662" s="13" t="s">
        <v>26</v>
      </c>
      <c r="E662" s="13">
        <v>9</v>
      </c>
      <c r="F662" s="14">
        <v>11896</v>
      </c>
      <c r="G662" s="14">
        <v>107064</v>
      </c>
      <c r="H662" s="13" t="s">
        <v>37</v>
      </c>
      <c r="I662" s="13" t="s">
        <v>38</v>
      </c>
    </row>
    <row r="663" spans="1:9" x14ac:dyDescent="0.3">
      <c r="A663" s="12">
        <v>45817</v>
      </c>
      <c r="B663" s="13" t="s">
        <v>17</v>
      </c>
      <c r="C663" s="13" t="s">
        <v>22</v>
      </c>
      <c r="D663" s="13" t="s">
        <v>28</v>
      </c>
      <c r="E663" s="13">
        <v>7</v>
      </c>
      <c r="F663" s="14">
        <v>8254</v>
      </c>
      <c r="G663" s="14">
        <v>57778</v>
      </c>
      <c r="H663" s="13" t="s">
        <v>37</v>
      </c>
      <c r="I663" s="13" t="s">
        <v>38</v>
      </c>
    </row>
    <row r="664" spans="1:9" x14ac:dyDescent="0.3">
      <c r="A664" s="12">
        <v>45818</v>
      </c>
      <c r="B664" s="13" t="s">
        <v>23</v>
      </c>
      <c r="C664" s="13" t="s">
        <v>22</v>
      </c>
      <c r="D664" s="13" t="s">
        <v>16</v>
      </c>
      <c r="E664" s="13">
        <v>8</v>
      </c>
      <c r="F664" s="14">
        <v>7839</v>
      </c>
      <c r="G664" s="14">
        <v>62712</v>
      </c>
      <c r="H664" s="13" t="s">
        <v>37</v>
      </c>
      <c r="I664" s="13" t="s">
        <v>38</v>
      </c>
    </row>
    <row r="665" spans="1:9" x14ac:dyDescent="0.3">
      <c r="A665" s="12">
        <v>45818</v>
      </c>
      <c r="B665" s="13" t="s">
        <v>23</v>
      </c>
      <c r="C665" s="13" t="s">
        <v>10</v>
      </c>
      <c r="D665" s="13" t="s">
        <v>28</v>
      </c>
      <c r="E665" s="13">
        <v>9</v>
      </c>
      <c r="F665" s="14">
        <v>12085</v>
      </c>
      <c r="G665" s="14">
        <v>108765</v>
      </c>
      <c r="H665" s="13" t="s">
        <v>37</v>
      </c>
      <c r="I665" s="13" t="s">
        <v>38</v>
      </c>
    </row>
    <row r="666" spans="1:9" x14ac:dyDescent="0.3">
      <c r="A666" s="12">
        <v>45818</v>
      </c>
      <c r="B666" s="13" t="s">
        <v>17</v>
      </c>
      <c r="C666" s="13" t="s">
        <v>25</v>
      </c>
      <c r="D666" s="13" t="s">
        <v>24</v>
      </c>
      <c r="E666" s="13">
        <v>3</v>
      </c>
      <c r="F666" s="14">
        <v>57469</v>
      </c>
      <c r="G666" s="14">
        <v>172407</v>
      </c>
      <c r="H666" s="13" t="s">
        <v>37</v>
      </c>
      <c r="I666" s="13" t="s">
        <v>38</v>
      </c>
    </row>
    <row r="667" spans="1:9" x14ac:dyDescent="0.3">
      <c r="A667" s="12">
        <v>45818</v>
      </c>
      <c r="B667" s="13" t="s">
        <v>17</v>
      </c>
      <c r="C667" s="13" t="s">
        <v>15</v>
      </c>
      <c r="D667" s="13" t="s">
        <v>16</v>
      </c>
      <c r="E667" s="13">
        <v>3</v>
      </c>
      <c r="F667" s="14">
        <v>20993</v>
      </c>
      <c r="G667" s="14">
        <v>62979</v>
      </c>
      <c r="H667" s="13" t="s">
        <v>37</v>
      </c>
      <c r="I667" s="13" t="s">
        <v>38</v>
      </c>
    </row>
    <row r="668" spans="1:9" x14ac:dyDescent="0.3">
      <c r="A668" s="12">
        <v>45818</v>
      </c>
      <c r="B668" s="13" t="s">
        <v>9</v>
      </c>
      <c r="C668" s="13" t="s">
        <v>10</v>
      </c>
      <c r="D668" s="13" t="s">
        <v>18</v>
      </c>
      <c r="E668" s="13">
        <v>4</v>
      </c>
      <c r="F668" s="14">
        <v>12596</v>
      </c>
      <c r="G668" s="14">
        <v>50384</v>
      </c>
      <c r="H668" s="13" t="s">
        <v>37</v>
      </c>
      <c r="I668" s="13" t="s">
        <v>38</v>
      </c>
    </row>
    <row r="669" spans="1:9" x14ac:dyDescent="0.3">
      <c r="A669" s="12">
        <v>45819</v>
      </c>
      <c r="B669" s="13" t="s">
        <v>20</v>
      </c>
      <c r="C669" s="13" t="s">
        <v>19</v>
      </c>
      <c r="D669" s="13" t="s">
        <v>14</v>
      </c>
      <c r="E669" s="13">
        <v>2</v>
      </c>
      <c r="F669" s="14">
        <v>17798</v>
      </c>
      <c r="G669" s="14">
        <v>35596</v>
      </c>
      <c r="H669" s="13" t="s">
        <v>37</v>
      </c>
      <c r="I669" s="13" t="s">
        <v>38</v>
      </c>
    </row>
    <row r="670" spans="1:9" x14ac:dyDescent="0.3">
      <c r="A670" s="12">
        <v>45819</v>
      </c>
      <c r="B670" s="13" t="s">
        <v>23</v>
      </c>
      <c r="C670" s="13" t="s">
        <v>22</v>
      </c>
      <c r="D670" s="13" t="s">
        <v>26</v>
      </c>
      <c r="E670" s="13">
        <v>5</v>
      </c>
      <c r="F670" s="14">
        <v>8015</v>
      </c>
      <c r="G670" s="14">
        <v>40075</v>
      </c>
      <c r="H670" s="13" t="s">
        <v>37</v>
      </c>
      <c r="I670" s="13" t="s">
        <v>38</v>
      </c>
    </row>
    <row r="671" spans="1:9" x14ac:dyDescent="0.3">
      <c r="A671" s="12">
        <v>45819</v>
      </c>
      <c r="B671" s="13" t="s">
        <v>9</v>
      </c>
      <c r="C671" s="13" t="s">
        <v>10</v>
      </c>
      <c r="D671" s="13" t="s">
        <v>18</v>
      </c>
      <c r="E671" s="13">
        <v>2</v>
      </c>
      <c r="F671" s="14">
        <v>11897</v>
      </c>
      <c r="G671" s="14">
        <v>23794</v>
      </c>
      <c r="H671" s="13" t="s">
        <v>37</v>
      </c>
      <c r="I671" s="13" t="s">
        <v>38</v>
      </c>
    </row>
    <row r="672" spans="1:9" x14ac:dyDescent="0.3">
      <c r="A672" s="12">
        <v>45820</v>
      </c>
      <c r="B672" s="13" t="s">
        <v>9</v>
      </c>
      <c r="C672" s="13" t="s">
        <v>25</v>
      </c>
      <c r="D672" s="13" t="s">
        <v>14</v>
      </c>
      <c r="E672" s="13">
        <v>5</v>
      </c>
      <c r="F672" s="14">
        <v>57021</v>
      </c>
      <c r="G672" s="14">
        <v>285105</v>
      </c>
      <c r="H672" s="13" t="s">
        <v>37</v>
      </c>
      <c r="I672" s="13" t="s">
        <v>38</v>
      </c>
    </row>
    <row r="673" spans="1:9" x14ac:dyDescent="0.3">
      <c r="A673" s="12">
        <v>45820</v>
      </c>
      <c r="B673" s="13" t="s">
        <v>20</v>
      </c>
      <c r="C673" s="13" t="s">
        <v>21</v>
      </c>
      <c r="D673" s="13" t="s">
        <v>11</v>
      </c>
      <c r="E673" s="13">
        <v>7</v>
      </c>
      <c r="F673" s="14">
        <v>3554</v>
      </c>
      <c r="G673" s="14">
        <v>24878</v>
      </c>
      <c r="H673" s="13" t="s">
        <v>37</v>
      </c>
      <c r="I673" s="13" t="s">
        <v>38</v>
      </c>
    </row>
    <row r="674" spans="1:9" x14ac:dyDescent="0.3">
      <c r="A674" s="12">
        <v>45820</v>
      </c>
      <c r="B674" s="13" t="s">
        <v>23</v>
      </c>
      <c r="C674" s="13" t="s">
        <v>25</v>
      </c>
      <c r="D674" s="13" t="s">
        <v>27</v>
      </c>
      <c r="E674" s="13">
        <v>5</v>
      </c>
      <c r="F674" s="14">
        <v>54466</v>
      </c>
      <c r="G674" s="14">
        <v>272330</v>
      </c>
      <c r="H674" s="13" t="s">
        <v>37</v>
      </c>
      <c r="I674" s="13" t="s">
        <v>38</v>
      </c>
    </row>
    <row r="675" spans="1:9" x14ac:dyDescent="0.3">
      <c r="A675" s="12">
        <v>45821</v>
      </c>
      <c r="B675" s="13" t="s">
        <v>23</v>
      </c>
      <c r="C675" s="13" t="s">
        <v>25</v>
      </c>
      <c r="D675" s="13" t="s">
        <v>18</v>
      </c>
      <c r="E675" s="13">
        <v>6</v>
      </c>
      <c r="F675" s="14">
        <v>56047</v>
      </c>
      <c r="G675" s="14">
        <v>336282</v>
      </c>
      <c r="H675" s="13" t="s">
        <v>37</v>
      </c>
      <c r="I675" s="13" t="s">
        <v>38</v>
      </c>
    </row>
    <row r="676" spans="1:9" x14ac:dyDescent="0.3">
      <c r="A676" s="12">
        <v>45821</v>
      </c>
      <c r="B676" s="13" t="s">
        <v>9</v>
      </c>
      <c r="C676" s="13" t="s">
        <v>10</v>
      </c>
      <c r="D676" s="13" t="s">
        <v>24</v>
      </c>
      <c r="E676" s="13">
        <v>5</v>
      </c>
      <c r="F676" s="14">
        <v>12476</v>
      </c>
      <c r="G676" s="14">
        <v>62380</v>
      </c>
      <c r="H676" s="13" t="s">
        <v>37</v>
      </c>
      <c r="I676" s="13" t="s">
        <v>38</v>
      </c>
    </row>
    <row r="677" spans="1:9" x14ac:dyDescent="0.3">
      <c r="A677" s="12">
        <v>45821</v>
      </c>
      <c r="B677" s="13" t="s">
        <v>9</v>
      </c>
      <c r="C677" s="13" t="s">
        <v>19</v>
      </c>
      <c r="D677" s="13" t="s">
        <v>11</v>
      </c>
      <c r="E677" s="13">
        <v>5</v>
      </c>
      <c r="F677" s="14">
        <v>17604</v>
      </c>
      <c r="G677" s="14">
        <v>88020</v>
      </c>
      <c r="H677" s="13" t="s">
        <v>37</v>
      </c>
      <c r="I677" s="13" t="s">
        <v>38</v>
      </c>
    </row>
    <row r="678" spans="1:9" x14ac:dyDescent="0.3">
      <c r="A678" s="12">
        <v>45821</v>
      </c>
      <c r="B678" s="13" t="s">
        <v>23</v>
      </c>
      <c r="C678" s="13" t="s">
        <v>10</v>
      </c>
      <c r="D678" s="13" t="s">
        <v>14</v>
      </c>
      <c r="E678" s="13">
        <v>4</v>
      </c>
      <c r="F678" s="14">
        <v>11561</v>
      </c>
      <c r="G678" s="14">
        <v>46244</v>
      </c>
      <c r="H678" s="13" t="s">
        <v>37</v>
      </c>
      <c r="I678" s="13" t="s">
        <v>38</v>
      </c>
    </row>
    <row r="679" spans="1:9" x14ac:dyDescent="0.3">
      <c r="A679" s="12">
        <v>45821</v>
      </c>
      <c r="B679" s="13" t="s">
        <v>23</v>
      </c>
      <c r="C679" s="13" t="s">
        <v>19</v>
      </c>
      <c r="D679" s="13" t="s">
        <v>11</v>
      </c>
      <c r="E679" s="13">
        <v>7</v>
      </c>
      <c r="F679" s="14">
        <v>18188</v>
      </c>
      <c r="G679" s="14">
        <v>127316</v>
      </c>
      <c r="H679" s="13" t="s">
        <v>37</v>
      </c>
      <c r="I679" s="13" t="s">
        <v>38</v>
      </c>
    </row>
    <row r="680" spans="1:9" x14ac:dyDescent="0.3">
      <c r="A680" s="12">
        <v>45821</v>
      </c>
      <c r="B680" s="13" t="s">
        <v>9</v>
      </c>
      <c r="C680" s="13" t="s">
        <v>15</v>
      </c>
      <c r="D680" s="13" t="s">
        <v>24</v>
      </c>
      <c r="E680" s="13">
        <v>4</v>
      </c>
      <c r="F680" s="14">
        <v>22909</v>
      </c>
      <c r="G680" s="14">
        <v>91636</v>
      </c>
      <c r="H680" s="13" t="s">
        <v>37</v>
      </c>
      <c r="I680" s="13" t="s">
        <v>38</v>
      </c>
    </row>
    <row r="681" spans="1:9" x14ac:dyDescent="0.3">
      <c r="A681" s="12">
        <v>45822</v>
      </c>
      <c r="B681" s="13" t="s">
        <v>23</v>
      </c>
      <c r="C681" s="13" t="s">
        <v>22</v>
      </c>
      <c r="D681" s="13" t="s">
        <v>26</v>
      </c>
      <c r="E681" s="13">
        <v>1</v>
      </c>
      <c r="F681" s="14">
        <v>8012</v>
      </c>
      <c r="G681" s="14">
        <v>8012</v>
      </c>
      <c r="H681" s="13" t="s">
        <v>37</v>
      </c>
      <c r="I681" s="13" t="s">
        <v>38</v>
      </c>
    </row>
    <row r="682" spans="1:9" x14ac:dyDescent="0.3">
      <c r="A682" s="12">
        <v>45822</v>
      </c>
      <c r="B682" s="13" t="s">
        <v>17</v>
      </c>
      <c r="C682" s="13" t="s">
        <v>25</v>
      </c>
      <c r="D682" s="13" t="s">
        <v>11</v>
      </c>
      <c r="E682" s="13">
        <v>9</v>
      </c>
      <c r="F682" s="14">
        <v>54468</v>
      </c>
      <c r="G682" s="14">
        <v>490212</v>
      </c>
      <c r="H682" s="13" t="s">
        <v>37</v>
      </c>
      <c r="I682" s="13" t="s">
        <v>38</v>
      </c>
    </row>
    <row r="683" spans="1:9" x14ac:dyDescent="0.3">
      <c r="A683" s="12">
        <v>45822</v>
      </c>
      <c r="B683" s="13" t="s">
        <v>9</v>
      </c>
      <c r="C683" s="13" t="s">
        <v>15</v>
      </c>
      <c r="D683" s="13" t="s">
        <v>16</v>
      </c>
      <c r="E683" s="13">
        <v>4</v>
      </c>
      <c r="F683" s="14">
        <v>22741</v>
      </c>
      <c r="G683" s="14">
        <v>90964</v>
      </c>
      <c r="H683" s="13" t="s">
        <v>37</v>
      </c>
      <c r="I683" s="13" t="s">
        <v>38</v>
      </c>
    </row>
    <row r="684" spans="1:9" x14ac:dyDescent="0.3">
      <c r="A684" s="12">
        <v>45822</v>
      </c>
      <c r="B684" s="13" t="s">
        <v>17</v>
      </c>
      <c r="C684" s="13" t="s">
        <v>25</v>
      </c>
      <c r="D684" s="13" t="s">
        <v>24</v>
      </c>
      <c r="E684" s="13">
        <v>1</v>
      </c>
      <c r="F684" s="14">
        <v>57299</v>
      </c>
      <c r="G684" s="14">
        <v>57299</v>
      </c>
      <c r="H684" s="13" t="s">
        <v>37</v>
      </c>
      <c r="I684" s="13" t="s">
        <v>38</v>
      </c>
    </row>
    <row r="685" spans="1:9" x14ac:dyDescent="0.3">
      <c r="A685" s="12">
        <v>45822</v>
      </c>
      <c r="B685" s="13" t="s">
        <v>17</v>
      </c>
      <c r="C685" s="13" t="s">
        <v>19</v>
      </c>
      <c r="D685" s="13" t="s">
        <v>26</v>
      </c>
      <c r="E685" s="13">
        <v>8</v>
      </c>
      <c r="F685" s="14">
        <v>18009</v>
      </c>
      <c r="G685" s="14">
        <v>144072</v>
      </c>
      <c r="H685" s="13" t="s">
        <v>37</v>
      </c>
      <c r="I685" s="13" t="s">
        <v>38</v>
      </c>
    </row>
    <row r="686" spans="1:9" x14ac:dyDescent="0.3">
      <c r="A686" s="12">
        <v>45823</v>
      </c>
      <c r="B686" s="13" t="s">
        <v>9</v>
      </c>
      <c r="C686" s="13" t="s">
        <v>15</v>
      </c>
      <c r="D686" s="13" t="s">
        <v>26</v>
      </c>
      <c r="E686" s="13">
        <v>8</v>
      </c>
      <c r="F686" s="14">
        <v>22206</v>
      </c>
      <c r="G686" s="14">
        <v>177648</v>
      </c>
      <c r="H686" s="13" t="s">
        <v>37</v>
      </c>
      <c r="I686" s="13" t="s">
        <v>38</v>
      </c>
    </row>
    <row r="687" spans="1:9" x14ac:dyDescent="0.3">
      <c r="A687" s="12">
        <v>45823</v>
      </c>
      <c r="B687" s="13" t="s">
        <v>17</v>
      </c>
      <c r="C687" s="13" t="s">
        <v>21</v>
      </c>
      <c r="D687" s="13" t="s">
        <v>26</v>
      </c>
      <c r="E687" s="13">
        <v>6</v>
      </c>
      <c r="F687" s="14">
        <v>3382</v>
      </c>
      <c r="G687" s="14">
        <v>20292</v>
      </c>
      <c r="H687" s="13" t="s">
        <v>37</v>
      </c>
      <c r="I687" s="13" t="s">
        <v>38</v>
      </c>
    </row>
    <row r="688" spans="1:9" x14ac:dyDescent="0.3">
      <c r="A688" s="12">
        <v>45824</v>
      </c>
      <c r="B688" s="13" t="s">
        <v>9</v>
      </c>
      <c r="C688" s="13" t="s">
        <v>19</v>
      </c>
      <c r="D688" s="13" t="s">
        <v>28</v>
      </c>
      <c r="E688" s="13">
        <v>7</v>
      </c>
      <c r="F688" s="14">
        <v>17189</v>
      </c>
      <c r="G688" s="14">
        <v>120323</v>
      </c>
      <c r="H688" s="13" t="s">
        <v>37</v>
      </c>
      <c r="I688" s="13" t="s">
        <v>38</v>
      </c>
    </row>
    <row r="689" spans="1:9" x14ac:dyDescent="0.3">
      <c r="A689" s="12">
        <v>45824</v>
      </c>
      <c r="B689" s="13" t="s">
        <v>17</v>
      </c>
      <c r="C689" s="13" t="s">
        <v>15</v>
      </c>
      <c r="D689" s="13" t="s">
        <v>16</v>
      </c>
      <c r="E689" s="13">
        <v>4</v>
      </c>
      <c r="F689" s="14">
        <v>21491</v>
      </c>
      <c r="G689" s="14">
        <v>85964</v>
      </c>
      <c r="H689" s="13" t="s">
        <v>37</v>
      </c>
      <c r="I689" s="13" t="s">
        <v>38</v>
      </c>
    </row>
    <row r="690" spans="1:9" x14ac:dyDescent="0.3">
      <c r="A690" s="12">
        <v>45824</v>
      </c>
      <c r="B690" s="13" t="s">
        <v>23</v>
      </c>
      <c r="C690" s="13" t="s">
        <v>22</v>
      </c>
      <c r="D690" s="13" t="s">
        <v>28</v>
      </c>
      <c r="E690" s="13">
        <v>1</v>
      </c>
      <c r="F690" s="14">
        <v>7979</v>
      </c>
      <c r="G690" s="14">
        <v>7979</v>
      </c>
      <c r="H690" s="13" t="s">
        <v>37</v>
      </c>
      <c r="I690" s="13" t="s">
        <v>38</v>
      </c>
    </row>
    <row r="691" spans="1:9" x14ac:dyDescent="0.3">
      <c r="A691" s="12">
        <v>45824</v>
      </c>
      <c r="B691" s="13" t="s">
        <v>17</v>
      </c>
      <c r="C691" s="13" t="s">
        <v>10</v>
      </c>
      <c r="D691" s="13" t="s">
        <v>27</v>
      </c>
      <c r="E691" s="13">
        <v>10</v>
      </c>
      <c r="F691" s="14">
        <v>12361</v>
      </c>
      <c r="G691" s="14">
        <v>123610</v>
      </c>
      <c r="H691" s="13" t="s">
        <v>37</v>
      </c>
      <c r="I691" s="13" t="s">
        <v>38</v>
      </c>
    </row>
    <row r="692" spans="1:9" x14ac:dyDescent="0.3">
      <c r="A692" s="12">
        <v>45825</v>
      </c>
      <c r="B692" s="13" t="s">
        <v>20</v>
      </c>
      <c r="C692" s="13" t="s">
        <v>22</v>
      </c>
      <c r="D692" s="13" t="s">
        <v>11</v>
      </c>
      <c r="E692" s="13">
        <v>5</v>
      </c>
      <c r="F692" s="14">
        <v>7939</v>
      </c>
      <c r="G692" s="14">
        <v>39695</v>
      </c>
      <c r="H692" s="13" t="s">
        <v>37</v>
      </c>
      <c r="I692" s="13" t="s">
        <v>38</v>
      </c>
    </row>
    <row r="693" spans="1:9" x14ac:dyDescent="0.3">
      <c r="A693" s="12">
        <v>45825</v>
      </c>
      <c r="B693" s="13" t="s">
        <v>23</v>
      </c>
      <c r="C693" s="13" t="s">
        <v>19</v>
      </c>
      <c r="D693" s="13" t="s">
        <v>24</v>
      </c>
      <c r="E693" s="13">
        <v>5</v>
      </c>
      <c r="F693" s="14">
        <v>17492</v>
      </c>
      <c r="G693" s="14">
        <v>87460</v>
      </c>
      <c r="H693" s="13" t="s">
        <v>37</v>
      </c>
      <c r="I693" s="13" t="s">
        <v>38</v>
      </c>
    </row>
    <row r="694" spans="1:9" x14ac:dyDescent="0.3">
      <c r="A694" s="12">
        <v>45825</v>
      </c>
      <c r="B694" s="13" t="s">
        <v>20</v>
      </c>
      <c r="C694" s="13" t="s">
        <v>10</v>
      </c>
      <c r="D694" s="13" t="s">
        <v>18</v>
      </c>
      <c r="E694" s="13">
        <v>10</v>
      </c>
      <c r="F694" s="14">
        <v>11522</v>
      </c>
      <c r="G694" s="14">
        <v>115220</v>
      </c>
      <c r="H694" s="13" t="s">
        <v>37</v>
      </c>
      <c r="I694" s="13" t="s">
        <v>38</v>
      </c>
    </row>
    <row r="695" spans="1:9" x14ac:dyDescent="0.3">
      <c r="A695" s="12">
        <v>45826</v>
      </c>
      <c r="B695" s="13" t="s">
        <v>20</v>
      </c>
      <c r="C695" s="13" t="s">
        <v>22</v>
      </c>
      <c r="D695" s="13" t="s">
        <v>11</v>
      </c>
      <c r="E695" s="13">
        <v>5</v>
      </c>
      <c r="F695" s="14">
        <v>8147</v>
      </c>
      <c r="G695" s="14">
        <v>40735</v>
      </c>
      <c r="H695" s="13" t="s">
        <v>37</v>
      </c>
      <c r="I695" s="13" t="s">
        <v>38</v>
      </c>
    </row>
    <row r="696" spans="1:9" x14ac:dyDescent="0.3">
      <c r="A696" s="12">
        <v>45826</v>
      </c>
      <c r="B696" s="13" t="s">
        <v>23</v>
      </c>
      <c r="C696" s="13" t="s">
        <v>25</v>
      </c>
      <c r="D696" s="13" t="s">
        <v>26</v>
      </c>
      <c r="E696" s="13">
        <v>5</v>
      </c>
      <c r="F696" s="14">
        <v>55773</v>
      </c>
      <c r="G696" s="14">
        <v>278865</v>
      </c>
      <c r="H696" s="13" t="s">
        <v>37</v>
      </c>
      <c r="I696" s="13" t="s">
        <v>38</v>
      </c>
    </row>
    <row r="697" spans="1:9" x14ac:dyDescent="0.3">
      <c r="A697" s="12">
        <v>45826</v>
      </c>
      <c r="B697" s="13" t="s">
        <v>20</v>
      </c>
      <c r="C697" s="13" t="s">
        <v>19</v>
      </c>
      <c r="D697" s="13" t="s">
        <v>11</v>
      </c>
      <c r="E697" s="13">
        <v>4</v>
      </c>
      <c r="F697" s="14">
        <v>17369</v>
      </c>
      <c r="G697" s="14">
        <v>69476</v>
      </c>
      <c r="H697" s="13" t="s">
        <v>37</v>
      </c>
      <c r="I697" s="13" t="s">
        <v>38</v>
      </c>
    </row>
    <row r="698" spans="1:9" x14ac:dyDescent="0.3">
      <c r="A698" s="12">
        <v>45826</v>
      </c>
      <c r="B698" s="13" t="s">
        <v>17</v>
      </c>
      <c r="C698" s="13" t="s">
        <v>25</v>
      </c>
      <c r="D698" s="13" t="s">
        <v>18</v>
      </c>
      <c r="E698" s="13">
        <v>6</v>
      </c>
      <c r="F698" s="14">
        <v>55994</v>
      </c>
      <c r="G698" s="14">
        <v>335964</v>
      </c>
      <c r="H698" s="13" t="s">
        <v>37</v>
      </c>
      <c r="I698" s="13" t="s">
        <v>38</v>
      </c>
    </row>
    <row r="699" spans="1:9" x14ac:dyDescent="0.3">
      <c r="A699" s="12">
        <v>45826</v>
      </c>
      <c r="B699" s="13" t="s">
        <v>9</v>
      </c>
      <c r="C699" s="13" t="s">
        <v>10</v>
      </c>
      <c r="D699" s="13" t="s">
        <v>24</v>
      </c>
      <c r="E699" s="13">
        <v>5</v>
      </c>
      <c r="F699" s="14">
        <v>11711</v>
      </c>
      <c r="G699" s="14">
        <v>58555</v>
      </c>
      <c r="H699" s="13" t="s">
        <v>37</v>
      </c>
      <c r="I699" s="13" t="s">
        <v>38</v>
      </c>
    </row>
    <row r="700" spans="1:9" x14ac:dyDescent="0.3">
      <c r="A700" s="12">
        <v>45826</v>
      </c>
      <c r="B700" s="13" t="s">
        <v>23</v>
      </c>
      <c r="C700" s="13" t="s">
        <v>21</v>
      </c>
      <c r="D700" s="13" t="s">
        <v>18</v>
      </c>
      <c r="E700" s="13">
        <v>1</v>
      </c>
      <c r="F700" s="14">
        <v>3529</v>
      </c>
      <c r="G700" s="14">
        <v>3529</v>
      </c>
      <c r="H700" s="13" t="s">
        <v>37</v>
      </c>
      <c r="I700" s="13" t="s">
        <v>38</v>
      </c>
    </row>
    <row r="701" spans="1:9" x14ac:dyDescent="0.3">
      <c r="A701" s="12">
        <v>45827</v>
      </c>
      <c r="B701" s="13" t="s">
        <v>17</v>
      </c>
      <c r="C701" s="13" t="s">
        <v>19</v>
      </c>
      <c r="D701" s="13" t="s">
        <v>16</v>
      </c>
      <c r="E701" s="13">
        <v>9</v>
      </c>
      <c r="F701" s="14">
        <v>18248</v>
      </c>
      <c r="G701" s="14">
        <v>164232</v>
      </c>
      <c r="H701" s="13" t="s">
        <v>37</v>
      </c>
      <c r="I701" s="13" t="s">
        <v>38</v>
      </c>
    </row>
    <row r="702" spans="1:9" x14ac:dyDescent="0.3">
      <c r="A702" s="12">
        <v>45827</v>
      </c>
      <c r="B702" s="13" t="s">
        <v>23</v>
      </c>
      <c r="C702" s="13" t="s">
        <v>10</v>
      </c>
      <c r="D702" s="13" t="s">
        <v>26</v>
      </c>
      <c r="E702" s="13">
        <v>9</v>
      </c>
      <c r="F702" s="14">
        <v>11760</v>
      </c>
      <c r="G702" s="14">
        <v>105840</v>
      </c>
      <c r="H702" s="13" t="s">
        <v>37</v>
      </c>
      <c r="I702" s="13" t="s">
        <v>38</v>
      </c>
    </row>
    <row r="703" spans="1:9" x14ac:dyDescent="0.3">
      <c r="A703" s="12">
        <v>45827</v>
      </c>
      <c r="B703" s="13" t="s">
        <v>17</v>
      </c>
      <c r="C703" s="13" t="s">
        <v>10</v>
      </c>
      <c r="D703" s="13" t="s">
        <v>27</v>
      </c>
      <c r="E703" s="13">
        <v>5</v>
      </c>
      <c r="F703" s="14">
        <v>11517</v>
      </c>
      <c r="G703" s="14">
        <v>57585</v>
      </c>
      <c r="H703" s="13" t="s">
        <v>37</v>
      </c>
      <c r="I703" s="13" t="s">
        <v>38</v>
      </c>
    </row>
    <row r="704" spans="1:9" x14ac:dyDescent="0.3">
      <c r="A704" s="12">
        <v>45827</v>
      </c>
      <c r="B704" s="13" t="s">
        <v>17</v>
      </c>
      <c r="C704" s="13" t="s">
        <v>10</v>
      </c>
      <c r="D704" s="13" t="s">
        <v>11</v>
      </c>
      <c r="E704" s="13">
        <v>9</v>
      </c>
      <c r="F704" s="14">
        <v>12315</v>
      </c>
      <c r="G704" s="14">
        <v>110835</v>
      </c>
      <c r="H704" s="13" t="s">
        <v>37</v>
      </c>
      <c r="I704" s="13" t="s">
        <v>38</v>
      </c>
    </row>
    <row r="705" spans="1:9" x14ac:dyDescent="0.3">
      <c r="A705" s="12">
        <v>45827</v>
      </c>
      <c r="B705" s="13" t="s">
        <v>17</v>
      </c>
      <c r="C705" s="13" t="s">
        <v>10</v>
      </c>
      <c r="D705" s="13" t="s">
        <v>26</v>
      </c>
      <c r="E705" s="13">
        <v>2</v>
      </c>
      <c r="F705" s="14">
        <v>11666</v>
      </c>
      <c r="G705" s="14">
        <v>23332</v>
      </c>
      <c r="H705" s="13" t="s">
        <v>37</v>
      </c>
      <c r="I705" s="13" t="s">
        <v>38</v>
      </c>
    </row>
    <row r="706" spans="1:9" x14ac:dyDescent="0.3">
      <c r="A706" s="12">
        <v>45827</v>
      </c>
      <c r="B706" s="13" t="s">
        <v>17</v>
      </c>
      <c r="C706" s="13" t="s">
        <v>10</v>
      </c>
      <c r="D706" s="13" t="s">
        <v>11</v>
      </c>
      <c r="E706" s="13">
        <v>7</v>
      </c>
      <c r="F706" s="14">
        <v>12345</v>
      </c>
      <c r="G706" s="14">
        <v>86415</v>
      </c>
      <c r="H706" s="13" t="s">
        <v>37</v>
      </c>
      <c r="I706" s="13" t="s">
        <v>38</v>
      </c>
    </row>
    <row r="707" spans="1:9" x14ac:dyDescent="0.3">
      <c r="A707" s="12">
        <v>45828</v>
      </c>
      <c r="B707" s="13" t="s">
        <v>20</v>
      </c>
      <c r="C707" s="13" t="s">
        <v>19</v>
      </c>
      <c r="D707" s="13" t="s">
        <v>11</v>
      </c>
      <c r="E707" s="13">
        <v>8</v>
      </c>
      <c r="F707" s="14">
        <v>18632</v>
      </c>
      <c r="G707" s="14">
        <v>149056</v>
      </c>
      <c r="H707" s="13" t="s">
        <v>37</v>
      </c>
      <c r="I707" s="13" t="s">
        <v>38</v>
      </c>
    </row>
    <row r="708" spans="1:9" x14ac:dyDescent="0.3">
      <c r="A708" s="12">
        <v>45828</v>
      </c>
      <c r="B708" s="13" t="s">
        <v>23</v>
      </c>
      <c r="C708" s="13" t="s">
        <v>25</v>
      </c>
      <c r="D708" s="13" t="s">
        <v>14</v>
      </c>
      <c r="E708" s="13">
        <v>8</v>
      </c>
      <c r="F708" s="14">
        <v>57141</v>
      </c>
      <c r="G708" s="14">
        <v>457128</v>
      </c>
      <c r="H708" s="13" t="s">
        <v>37</v>
      </c>
      <c r="I708" s="13" t="s">
        <v>38</v>
      </c>
    </row>
    <row r="709" spans="1:9" x14ac:dyDescent="0.3">
      <c r="A709" s="12">
        <v>45828</v>
      </c>
      <c r="B709" s="13" t="s">
        <v>9</v>
      </c>
      <c r="C709" s="13" t="s">
        <v>10</v>
      </c>
      <c r="D709" s="13" t="s">
        <v>18</v>
      </c>
      <c r="E709" s="13">
        <v>9</v>
      </c>
      <c r="F709" s="14">
        <v>11758</v>
      </c>
      <c r="G709" s="14">
        <v>105822</v>
      </c>
      <c r="H709" s="13" t="s">
        <v>37</v>
      </c>
      <c r="I709" s="13" t="s">
        <v>38</v>
      </c>
    </row>
    <row r="710" spans="1:9" x14ac:dyDescent="0.3">
      <c r="A710" s="12">
        <v>45828</v>
      </c>
      <c r="B710" s="13" t="s">
        <v>9</v>
      </c>
      <c r="C710" s="13" t="s">
        <v>15</v>
      </c>
      <c r="D710" s="13" t="s">
        <v>27</v>
      </c>
      <c r="E710" s="13">
        <v>4</v>
      </c>
      <c r="F710" s="14">
        <v>21653</v>
      </c>
      <c r="G710" s="14">
        <v>86612</v>
      </c>
      <c r="H710" s="13" t="s">
        <v>37</v>
      </c>
      <c r="I710" s="13" t="s">
        <v>38</v>
      </c>
    </row>
    <row r="711" spans="1:9" x14ac:dyDescent="0.3">
      <c r="A711" s="12">
        <v>45829</v>
      </c>
      <c r="B711" s="13" t="s">
        <v>23</v>
      </c>
      <c r="C711" s="13" t="s">
        <v>15</v>
      </c>
      <c r="D711" s="13" t="s">
        <v>26</v>
      </c>
      <c r="E711" s="13">
        <v>3</v>
      </c>
      <c r="F711" s="14">
        <v>22613</v>
      </c>
      <c r="G711" s="14">
        <v>67839</v>
      </c>
      <c r="H711" s="13" t="s">
        <v>37</v>
      </c>
      <c r="I711" s="13" t="s">
        <v>38</v>
      </c>
    </row>
    <row r="712" spans="1:9" x14ac:dyDescent="0.3">
      <c r="A712" s="12">
        <v>45829</v>
      </c>
      <c r="B712" s="13" t="s">
        <v>23</v>
      </c>
      <c r="C712" s="13" t="s">
        <v>19</v>
      </c>
      <c r="D712" s="13" t="s">
        <v>27</v>
      </c>
      <c r="E712" s="13">
        <v>6</v>
      </c>
      <c r="F712" s="14">
        <v>18242</v>
      </c>
      <c r="G712" s="14">
        <v>109452</v>
      </c>
      <c r="H712" s="13" t="s">
        <v>37</v>
      </c>
      <c r="I712" s="13" t="s">
        <v>38</v>
      </c>
    </row>
    <row r="713" spans="1:9" x14ac:dyDescent="0.3">
      <c r="A713" s="12">
        <v>45829</v>
      </c>
      <c r="B713" s="13" t="s">
        <v>9</v>
      </c>
      <c r="C713" s="13" t="s">
        <v>21</v>
      </c>
      <c r="D713" s="13" t="s">
        <v>11</v>
      </c>
      <c r="E713" s="13">
        <v>4</v>
      </c>
      <c r="F713" s="14">
        <v>3591</v>
      </c>
      <c r="G713" s="14">
        <v>14364</v>
      </c>
      <c r="H713" s="13" t="s">
        <v>37</v>
      </c>
      <c r="I713" s="13" t="s">
        <v>38</v>
      </c>
    </row>
    <row r="714" spans="1:9" x14ac:dyDescent="0.3">
      <c r="A714" s="12">
        <v>45829</v>
      </c>
      <c r="B714" s="13" t="s">
        <v>17</v>
      </c>
      <c r="C714" s="13" t="s">
        <v>22</v>
      </c>
      <c r="D714" s="13" t="s">
        <v>27</v>
      </c>
      <c r="E714" s="13">
        <v>8</v>
      </c>
      <c r="F714" s="14">
        <v>8228</v>
      </c>
      <c r="G714" s="14">
        <v>65824</v>
      </c>
      <c r="H714" s="13" t="s">
        <v>37</v>
      </c>
      <c r="I714" s="13" t="s">
        <v>38</v>
      </c>
    </row>
    <row r="715" spans="1:9" x14ac:dyDescent="0.3">
      <c r="A715" s="12">
        <v>45829</v>
      </c>
      <c r="B715" s="13" t="s">
        <v>9</v>
      </c>
      <c r="C715" s="13" t="s">
        <v>15</v>
      </c>
      <c r="D715" s="13" t="s">
        <v>18</v>
      </c>
      <c r="E715" s="13">
        <v>7</v>
      </c>
      <c r="F715" s="14">
        <v>21787</v>
      </c>
      <c r="G715" s="14">
        <v>152509</v>
      </c>
      <c r="H715" s="13" t="s">
        <v>37</v>
      </c>
      <c r="I715" s="13" t="s">
        <v>38</v>
      </c>
    </row>
    <row r="716" spans="1:9" x14ac:dyDescent="0.3">
      <c r="A716" s="12">
        <v>45829</v>
      </c>
      <c r="B716" s="13" t="s">
        <v>23</v>
      </c>
      <c r="C716" s="13" t="s">
        <v>21</v>
      </c>
      <c r="D716" s="13" t="s">
        <v>28</v>
      </c>
      <c r="E716" s="13">
        <v>1</v>
      </c>
      <c r="F716" s="14">
        <v>3511</v>
      </c>
      <c r="G716" s="14">
        <v>3511</v>
      </c>
      <c r="H716" s="13" t="s">
        <v>37</v>
      </c>
      <c r="I716" s="13" t="s">
        <v>38</v>
      </c>
    </row>
    <row r="717" spans="1:9" x14ac:dyDescent="0.3">
      <c r="A717" s="12">
        <v>45830</v>
      </c>
      <c r="B717" s="13" t="s">
        <v>9</v>
      </c>
      <c r="C717" s="13" t="s">
        <v>19</v>
      </c>
      <c r="D717" s="13" t="s">
        <v>16</v>
      </c>
      <c r="E717" s="13">
        <v>1</v>
      </c>
      <c r="F717" s="14">
        <v>18318</v>
      </c>
      <c r="G717" s="14">
        <v>18318</v>
      </c>
      <c r="H717" s="13" t="s">
        <v>37</v>
      </c>
      <c r="I717" s="13" t="s">
        <v>38</v>
      </c>
    </row>
    <row r="718" spans="1:9" x14ac:dyDescent="0.3">
      <c r="A718" s="12">
        <v>45830</v>
      </c>
      <c r="B718" s="13" t="s">
        <v>17</v>
      </c>
      <c r="C718" s="13" t="s">
        <v>15</v>
      </c>
      <c r="D718" s="13" t="s">
        <v>26</v>
      </c>
      <c r="E718" s="13">
        <v>5</v>
      </c>
      <c r="F718" s="14">
        <v>21183</v>
      </c>
      <c r="G718" s="14">
        <v>105915</v>
      </c>
      <c r="H718" s="13" t="s">
        <v>37</v>
      </c>
      <c r="I718" s="13" t="s">
        <v>38</v>
      </c>
    </row>
    <row r="719" spans="1:9" x14ac:dyDescent="0.3">
      <c r="A719" s="12">
        <v>45830</v>
      </c>
      <c r="B719" s="13" t="s">
        <v>23</v>
      </c>
      <c r="C719" s="13" t="s">
        <v>22</v>
      </c>
      <c r="D719" s="13" t="s">
        <v>11</v>
      </c>
      <c r="E719" s="13">
        <v>3</v>
      </c>
      <c r="F719" s="14">
        <v>7652</v>
      </c>
      <c r="G719" s="14">
        <v>22956</v>
      </c>
      <c r="H719" s="13" t="s">
        <v>37</v>
      </c>
      <c r="I719" s="13" t="s">
        <v>38</v>
      </c>
    </row>
    <row r="720" spans="1:9" x14ac:dyDescent="0.3">
      <c r="A720" s="12">
        <v>45830</v>
      </c>
      <c r="B720" s="13" t="s">
        <v>9</v>
      </c>
      <c r="C720" s="13" t="s">
        <v>19</v>
      </c>
      <c r="D720" s="13" t="s">
        <v>11</v>
      </c>
      <c r="E720" s="13">
        <v>8</v>
      </c>
      <c r="F720" s="14">
        <v>18410</v>
      </c>
      <c r="G720" s="14">
        <v>147280</v>
      </c>
      <c r="H720" s="13" t="s">
        <v>37</v>
      </c>
      <c r="I720" s="13" t="s">
        <v>38</v>
      </c>
    </row>
    <row r="721" spans="1:9" x14ac:dyDescent="0.3">
      <c r="A721" s="12">
        <v>45831</v>
      </c>
      <c r="B721" s="13" t="s">
        <v>20</v>
      </c>
      <c r="C721" s="13" t="s">
        <v>21</v>
      </c>
      <c r="D721" s="13" t="s">
        <v>27</v>
      </c>
      <c r="E721" s="13">
        <v>6</v>
      </c>
      <c r="F721" s="14">
        <v>3673</v>
      </c>
      <c r="G721" s="14">
        <v>22038</v>
      </c>
      <c r="H721" s="13" t="s">
        <v>37</v>
      </c>
      <c r="I721" s="13" t="s">
        <v>38</v>
      </c>
    </row>
    <row r="722" spans="1:9" x14ac:dyDescent="0.3">
      <c r="A722" s="12">
        <v>45831</v>
      </c>
      <c r="B722" s="13" t="s">
        <v>23</v>
      </c>
      <c r="C722" s="13" t="s">
        <v>19</v>
      </c>
      <c r="D722" s="13" t="s">
        <v>16</v>
      </c>
      <c r="E722" s="13">
        <v>3</v>
      </c>
      <c r="F722" s="14">
        <v>18806</v>
      </c>
      <c r="G722" s="14">
        <v>56418</v>
      </c>
      <c r="H722" s="13" t="s">
        <v>37</v>
      </c>
      <c r="I722" s="13" t="s">
        <v>38</v>
      </c>
    </row>
    <row r="723" spans="1:9" x14ac:dyDescent="0.3">
      <c r="A723" s="12">
        <v>45831</v>
      </c>
      <c r="B723" s="13" t="s">
        <v>23</v>
      </c>
      <c r="C723" s="13" t="s">
        <v>25</v>
      </c>
      <c r="D723" s="13" t="s">
        <v>16</v>
      </c>
      <c r="E723" s="13">
        <v>4</v>
      </c>
      <c r="F723" s="14">
        <v>56249</v>
      </c>
      <c r="G723" s="14">
        <v>224996</v>
      </c>
      <c r="H723" s="13" t="s">
        <v>37</v>
      </c>
      <c r="I723" s="13" t="s">
        <v>38</v>
      </c>
    </row>
    <row r="724" spans="1:9" x14ac:dyDescent="0.3">
      <c r="A724" s="12">
        <v>45831</v>
      </c>
      <c r="B724" s="13" t="s">
        <v>17</v>
      </c>
      <c r="C724" s="13" t="s">
        <v>15</v>
      </c>
      <c r="D724" s="13" t="s">
        <v>28</v>
      </c>
      <c r="E724" s="13">
        <v>10</v>
      </c>
      <c r="F724" s="14">
        <v>22010</v>
      </c>
      <c r="G724" s="14">
        <v>220100</v>
      </c>
      <c r="H724" s="13" t="s">
        <v>37</v>
      </c>
      <c r="I724" s="13" t="s">
        <v>38</v>
      </c>
    </row>
    <row r="725" spans="1:9" x14ac:dyDescent="0.3">
      <c r="A725" s="12">
        <v>45831</v>
      </c>
      <c r="B725" s="13" t="s">
        <v>9</v>
      </c>
      <c r="C725" s="13" t="s">
        <v>19</v>
      </c>
      <c r="D725" s="13" t="s">
        <v>28</v>
      </c>
      <c r="E725" s="13">
        <v>7</v>
      </c>
      <c r="F725" s="14">
        <v>18677</v>
      </c>
      <c r="G725" s="14">
        <v>130739</v>
      </c>
      <c r="H725" s="13" t="s">
        <v>37</v>
      </c>
      <c r="I725" s="13" t="s">
        <v>38</v>
      </c>
    </row>
    <row r="726" spans="1:9" x14ac:dyDescent="0.3">
      <c r="A726" s="12">
        <v>45831</v>
      </c>
      <c r="B726" s="13" t="s">
        <v>20</v>
      </c>
      <c r="C726" s="13" t="s">
        <v>22</v>
      </c>
      <c r="D726" s="13" t="s">
        <v>28</v>
      </c>
      <c r="E726" s="13">
        <v>10</v>
      </c>
      <c r="F726" s="14">
        <v>8395</v>
      </c>
      <c r="G726" s="14">
        <v>83950</v>
      </c>
      <c r="H726" s="13" t="s">
        <v>37</v>
      </c>
      <c r="I726" s="13" t="s">
        <v>38</v>
      </c>
    </row>
    <row r="727" spans="1:9" x14ac:dyDescent="0.3">
      <c r="A727" s="12">
        <v>45832</v>
      </c>
      <c r="B727" s="13" t="s">
        <v>9</v>
      </c>
      <c r="C727" s="13" t="s">
        <v>25</v>
      </c>
      <c r="D727" s="13" t="s">
        <v>14</v>
      </c>
      <c r="E727" s="13">
        <v>7</v>
      </c>
      <c r="F727" s="14">
        <v>54693</v>
      </c>
      <c r="G727" s="14">
        <v>382851</v>
      </c>
      <c r="H727" s="13" t="s">
        <v>37</v>
      </c>
      <c r="I727" s="13" t="s">
        <v>38</v>
      </c>
    </row>
    <row r="728" spans="1:9" x14ac:dyDescent="0.3">
      <c r="A728" s="12">
        <v>45832</v>
      </c>
      <c r="B728" s="13" t="s">
        <v>9</v>
      </c>
      <c r="C728" s="13" t="s">
        <v>22</v>
      </c>
      <c r="D728" s="13" t="s">
        <v>11</v>
      </c>
      <c r="E728" s="13">
        <v>8</v>
      </c>
      <c r="F728" s="14">
        <v>8161</v>
      </c>
      <c r="G728" s="14">
        <v>65288</v>
      </c>
      <c r="H728" s="13" t="s">
        <v>37</v>
      </c>
      <c r="I728" s="13" t="s">
        <v>38</v>
      </c>
    </row>
    <row r="729" spans="1:9" x14ac:dyDescent="0.3">
      <c r="A729" s="12">
        <v>45833</v>
      </c>
      <c r="B729" s="13" t="s">
        <v>9</v>
      </c>
      <c r="C729" s="13" t="s">
        <v>19</v>
      </c>
      <c r="D729" s="13" t="s">
        <v>18</v>
      </c>
      <c r="E729" s="13">
        <v>2</v>
      </c>
      <c r="F729" s="14">
        <v>18292</v>
      </c>
      <c r="G729" s="14">
        <v>36584</v>
      </c>
      <c r="H729" s="13" t="s">
        <v>37</v>
      </c>
      <c r="I729" s="13" t="s">
        <v>38</v>
      </c>
    </row>
    <row r="730" spans="1:9" x14ac:dyDescent="0.3">
      <c r="A730" s="12">
        <v>45833</v>
      </c>
      <c r="B730" s="13" t="s">
        <v>20</v>
      </c>
      <c r="C730" s="13" t="s">
        <v>22</v>
      </c>
      <c r="D730" s="13" t="s">
        <v>27</v>
      </c>
      <c r="E730" s="13">
        <v>7</v>
      </c>
      <c r="F730" s="14">
        <v>8264</v>
      </c>
      <c r="G730" s="14">
        <v>57848</v>
      </c>
      <c r="H730" s="13" t="s">
        <v>37</v>
      </c>
      <c r="I730" s="13" t="s">
        <v>38</v>
      </c>
    </row>
    <row r="731" spans="1:9" x14ac:dyDescent="0.3">
      <c r="A731" s="12">
        <v>45833</v>
      </c>
      <c r="B731" s="13" t="s">
        <v>9</v>
      </c>
      <c r="C731" s="13" t="s">
        <v>22</v>
      </c>
      <c r="D731" s="13" t="s">
        <v>14</v>
      </c>
      <c r="E731" s="13">
        <v>5</v>
      </c>
      <c r="F731" s="14">
        <v>7691</v>
      </c>
      <c r="G731" s="14">
        <v>38455</v>
      </c>
      <c r="H731" s="13" t="s">
        <v>37</v>
      </c>
      <c r="I731" s="13" t="s">
        <v>38</v>
      </c>
    </row>
    <row r="732" spans="1:9" x14ac:dyDescent="0.3">
      <c r="A732" s="12">
        <v>45834</v>
      </c>
      <c r="B732" s="13" t="s">
        <v>23</v>
      </c>
      <c r="C732" s="13" t="s">
        <v>15</v>
      </c>
      <c r="D732" s="13" t="s">
        <v>16</v>
      </c>
      <c r="E732" s="13">
        <v>5</v>
      </c>
      <c r="F732" s="14">
        <v>22729</v>
      </c>
      <c r="G732" s="14">
        <v>113645</v>
      </c>
      <c r="H732" s="13" t="s">
        <v>37</v>
      </c>
      <c r="I732" s="13" t="s">
        <v>38</v>
      </c>
    </row>
    <row r="733" spans="1:9" x14ac:dyDescent="0.3">
      <c r="A733" s="12">
        <v>45834</v>
      </c>
      <c r="B733" s="13" t="s">
        <v>17</v>
      </c>
      <c r="C733" s="13" t="s">
        <v>19</v>
      </c>
      <c r="D733" s="13" t="s">
        <v>18</v>
      </c>
      <c r="E733" s="13">
        <v>5</v>
      </c>
      <c r="F733" s="14">
        <v>17388</v>
      </c>
      <c r="G733" s="14">
        <v>86940</v>
      </c>
      <c r="H733" s="13" t="s">
        <v>37</v>
      </c>
      <c r="I733" s="13" t="s">
        <v>38</v>
      </c>
    </row>
    <row r="734" spans="1:9" x14ac:dyDescent="0.3">
      <c r="A734" s="12">
        <v>45835</v>
      </c>
      <c r="B734" s="13" t="s">
        <v>23</v>
      </c>
      <c r="C734" s="13" t="s">
        <v>15</v>
      </c>
      <c r="D734" s="13" t="s">
        <v>24</v>
      </c>
      <c r="E734" s="13">
        <v>6</v>
      </c>
      <c r="F734" s="14">
        <v>21415</v>
      </c>
      <c r="G734" s="14">
        <v>128490</v>
      </c>
      <c r="H734" s="13" t="s">
        <v>37</v>
      </c>
      <c r="I734" s="13" t="s">
        <v>38</v>
      </c>
    </row>
    <row r="735" spans="1:9" x14ac:dyDescent="0.3">
      <c r="A735" s="12">
        <v>45835</v>
      </c>
      <c r="B735" s="13" t="s">
        <v>9</v>
      </c>
      <c r="C735" s="13" t="s">
        <v>10</v>
      </c>
      <c r="D735" s="13" t="s">
        <v>14</v>
      </c>
      <c r="E735" s="13">
        <v>2</v>
      </c>
      <c r="F735" s="14">
        <v>12402</v>
      </c>
      <c r="G735" s="14">
        <v>24804</v>
      </c>
      <c r="H735" s="13" t="s">
        <v>37</v>
      </c>
      <c r="I735" s="13" t="s">
        <v>38</v>
      </c>
    </row>
    <row r="736" spans="1:9" x14ac:dyDescent="0.3">
      <c r="A736" s="12">
        <v>45835</v>
      </c>
      <c r="B736" s="13" t="s">
        <v>23</v>
      </c>
      <c r="C736" s="13" t="s">
        <v>15</v>
      </c>
      <c r="D736" s="13" t="s">
        <v>14</v>
      </c>
      <c r="E736" s="13">
        <v>9</v>
      </c>
      <c r="F736" s="14">
        <v>21065</v>
      </c>
      <c r="G736" s="14">
        <v>189585</v>
      </c>
      <c r="H736" s="13" t="s">
        <v>37</v>
      </c>
      <c r="I736" s="13" t="s">
        <v>38</v>
      </c>
    </row>
    <row r="737" spans="1:9" x14ac:dyDescent="0.3">
      <c r="A737" s="12">
        <v>45835</v>
      </c>
      <c r="B737" s="13" t="s">
        <v>9</v>
      </c>
      <c r="C737" s="13" t="s">
        <v>19</v>
      </c>
      <c r="D737" s="13" t="s">
        <v>16</v>
      </c>
      <c r="E737" s="13">
        <v>8</v>
      </c>
      <c r="F737" s="14">
        <v>18879</v>
      </c>
      <c r="G737" s="14">
        <v>151032</v>
      </c>
      <c r="H737" s="13" t="s">
        <v>37</v>
      </c>
      <c r="I737" s="13" t="s">
        <v>38</v>
      </c>
    </row>
    <row r="738" spans="1:9" x14ac:dyDescent="0.3">
      <c r="A738" s="12">
        <v>45835</v>
      </c>
      <c r="B738" s="13" t="s">
        <v>20</v>
      </c>
      <c r="C738" s="13" t="s">
        <v>19</v>
      </c>
      <c r="D738" s="13" t="s">
        <v>24</v>
      </c>
      <c r="E738" s="13">
        <v>1</v>
      </c>
      <c r="F738" s="14">
        <v>17279</v>
      </c>
      <c r="G738" s="14">
        <v>17279</v>
      </c>
      <c r="H738" s="13" t="s">
        <v>37</v>
      </c>
      <c r="I738" s="13" t="s">
        <v>38</v>
      </c>
    </row>
    <row r="739" spans="1:9" x14ac:dyDescent="0.3">
      <c r="A739" s="12">
        <v>45835</v>
      </c>
      <c r="B739" s="13" t="s">
        <v>17</v>
      </c>
      <c r="C739" s="13" t="s">
        <v>25</v>
      </c>
      <c r="D739" s="13" t="s">
        <v>11</v>
      </c>
      <c r="E739" s="13">
        <v>6</v>
      </c>
      <c r="F739" s="14">
        <v>56658</v>
      </c>
      <c r="G739" s="14">
        <v>339948</v>
      </c>
      <c r="H739" s="13" t="s">
        <v>37</v>
      </c>
      <c r="I739" s="13" t="s">
        <v>38</v>
      </c>
    </row>
    <row r="740" spans="1:9" x14ac:dyDescent="0.3">
      <c r="A740" s="12">
        <v>45836</v>
      </c>
      <c r="B740" s="13" t="s">
        <v>23</v>
      </c>
      <c r="C740" s="13" t="s">
        <v>10</v>
      </c>
      <c r="D740" s="13" t="s">
        <v>14</v>
      </c>
      <c r="E740" s="13">
        <v>2</v>
      </c>
      <c r="F740" s="14">
        <v>12421</v>
      </c>
      <c r="G740" s="14">
        <v>24842</v>
      </c>
      <c r="H740" s="13" t="s">
        <v>37</v>
      </c>
      <c r="I740" s="13" t="s">
        <v>38</v>
      </c>
    </row>
    <row r="741" spans="1:9" x14ac:dyDescent="0.3">
      <c r="A741" s="12">
        <v>45836</v>
      </c>
      <c r="B741" s="13" t="s">
        <v>9</v>
      </c>
      <c r="C741" s="13" t="s">
        <v>25</v>
      </c>
      <c r="D741" s="13" t="s">
        <v>27</v>
      </c>
      <c r="E741" s="13">
        <v>3</v>
      </c>
      <c r="F741" s="14">
        <v>54057</v>
      </c>
      <c r="G741" s="14">
        <v>162171</v>
      </c>
      <c r="H741" s="13" t="s">
        <v>37</v>
      </c>
      <c r="I741" s="13" t="s">
        <v>38</v>
      </c>
    </row>
    <row r="742" spans="1:9" x14ac:dyDescent="0.3">
      <c r="A742" s="12">
        <v>45836</v>
      </c>
      <c r="B742" s="13" t="s">
        <v>23</v>
      </c>
      <c r="C742" s="13" t="s">
        <v>22</v>
      </c>
      <c r="D742" s="13" t="s">
        <v>11</v>
      </c>
      <c r="E742" s="13">
        <v>2</v>
      </c>
      <c r="F742" s="14">
        <v>7898</v>
      </c>
      <c r="G742" s="14">
        <v>15796</v>
      </c>
      <c r="H742" s="13" t="s">
        <v>37</v>
      </c>
      <c r="I742" s="13" t="s">
        <v>38</v>
      </c>
    </row>
    <row r="743" spans="1:9" x14ac:dyDescent="0.3">
      <c r="A743" s="12">
        <v>45836</v>
      </c>
      <c r="B743" s="13" t="s">
        <v>20</v>
      </c>
      <c r="C743" s="13" t="s">
        <v>15</v>
      </c>
      <c r="D743" s="13" t="s">
        <v>14</v>
      </c>
      <c r="E743" s="13">
        <v>7</v>
      </c>
      <c r="F743" s="14">
        <v>21780</v>
      </c>
      <c r="G743" s="14">
        <v>152460</v>
      </c>
      <c r="H743" s="13" t="s">
        <v>37</v>
      </c>
      <c r="I743" s="13" t="s">
        <v>38</v>
      </c>
    </row>
    <row r="744" spans="1:9" x14ac:dyDescent="0.3">
      <c r="A744" s="12">
        <v>45837</v>
      </c>
      <c r="B744" s="13" t="s">
        <v>20</v>
      </c>
      <c r="C744" s="13" t="s">
        <v>21</v>
      </c>
      <c r="D744" s="13" t="s">
        <v>24</v>
      </c>
      <c r="E744" s="13">
        <v>7</v>
      </c>
      <c r="F744" s="14">
        <v>3552</v>
      </c>
      <c r="G744" s="14">
        <v>24864</v>
      </c>
      <c r="H744" s="13" t="s">
        <v>37</v>
      </c>
      <c r="I744" s="13" t="s">
        <v>38</v>
      </c>
    </row>
    <row r="745" spans="1:9" x14ac:dyDescent="0.3">
      <c r="A745" s="12">
        <v>45837</v>
      </c>
      <c r="B745" s="13" t="s">
        <v>17</v>
      </c>
      <c r="C745" s="13" t="s">
        <v>25</v>
      </c>
      <c r="D745" s="13" t="s">
        <v>27</v>
      </c>
      <c r="E745" s="13">
        <v>1</v>
      </c>
      <c r="F745" s="14">
        <v>57648</v>
      </c>
      <c r="G745" s="14">
        <v>57648</v>
      </c>
      <c r="H745" s="13" t="s">
        <v>37</v>
      </c>
      <c r="I745" s="13" t="s">
        <v>38</v>
      </c>
    </row>
    <row r="746" spans="1:9" x14ac:dyDescent="0.3">
      <c r="A746" s="12">
        <v>45837</v>
      </c>
      <c r="B746" s="13" t="s">
        <v>17</v>
      </c>
      <c r="C746" s="13" t="s">
        <v>25</v>
      </c>
      <c r="D746" s="13" t="s">
        <v>18</v>
      </c>
      <c r="E746" s="13">
        <v>10</v>
      </c>
      <c r="F746" s="14">
        <v>54904</v>
      </c>
      <c r="G746" s="14">
        <v>549040</v>
      </c>
      <c r="H746" s="13" t="s">
        <v>37</v>
      </c>
      <c r="I746" s="13" t="s">
        <v>38</v>
      </c>
    </row>
    <row r="747" spans="1:9" x14ac:dyDescent="0.3">
      <c r="A747" s="12">
        <v>45837</v>
      </c>
      <c r="B747" s="13" t="s">
        <v>23</v>
      </c>
      <c r="C747" s="13" t="s">
        <v>15</v>
      </c>
      <c r="D747" s="13" t="s">
        <v>18</v>
      </c>
      <c r="E747" s="13">
        <v>6</v>
      </c>
      <c r="F747" s="14">
        <v>22244</v>
      </c>
      <c r="G747" s="14">
        <v>133464</v>
      </c>
      <c r="H747" s="13" t="s">
        <v>37</v>
      </c>
      <c r="I747" s="13" t="s">
        <v>38</v>
      </c>
    </row>
    <row r="748" spans="1:9" x14ac:dyDescent="0.3">
      <c r="A748" s="12">
        <v>45837</v>
      </c>
      <c r="B748" s="13" t="s">
        <v>17</v>
      </c>
      <c r="C748" s="13" t="s">
        <v>21</v>
      </c>
      <c r="D748" s="13" t="s">
        <v>24</v>
      </c>
      <c r="E748" s="13">
        <v>2</v>
      </c>
      <c r="F748" s="14">
        <v>3635</v>
      </c>
      <c r="G748" s="14">
        <v>7270</v>
      </c>
      <c r="H748" s="13" t="s">
        <v>37</v>
      </c>
      <c r="I748" s="13" t="s">
        <v>38</v>
      </c>
    </row>
    <row r="749" spans="1:9" x14ac:dyDescent="0.3">
      <c r="A749" s="12">
        <v>45838</v>
      </c>
      <c r="B749" s="13" t="s">
        <v>9</v>
      </c>
      <c r="C749" s="13" t="s">
        <v>25</v>
      </c>
      <c r="D749" s="13" t="s">
        <v>11</v>
      </c>
      <c r="E749" s="13">
        <v>6</v>
      </c>
      <c r="F749" s="14">
        <v>52317</v>
      </c>
      <c r="G749" s="14">
        <v>313902</v>
      </c>
      <c r="H749" s="13" t="s">
        <v>37</v>
      </c>
      <c r="I749" s="13" t="s">
        <v>38</v>
      </c>
    </row>
    <row r="750" spans="1:9" x14ac:dyDescent="0.3">
      <c r="A750" s="12">
        <v>45838</v>
      </c>
      <c r="B750" s="13" t="s">
        <v>17</v>
      </c>
      <c r="C750" s="13" t="s">
        <v>10</v>
      </c>
      <c r="D750" s="13" t="s">
        <v>26</v>
      </c>
      <c r="E750" s="13">
        <v>9</v>
      </c>
      <c r="F750" s="14">
        <v>12027</v>
      </c>
      <c r="G750" s="14">
        <v>108243</v>
      </c>
      <c r="H750" s="13" t="s">
        <v>37</v>
      </c>
      <c r="I750" s="13" t="s">
        <v>38</v>
      </c>
    </row>
    <row r="751" spans="1:9" x14ac:dyDescent="0.3">
      <c r="A751" s="12">
        <v>45838</v>
      </c>
      <c r="B751" s="13" t="s">
        <v>9</v>
      </c>
      <c r="C751" s="13" t="s">
        <v>21</v>
      </c>
      <c r="D751" s="13" t="s">
        <v>16</v>
      </c>
      <c r="E751" s="13">
        <v>8</v>
      </c>
      <c r="F751" s="14">
        <v>3446</v>
      </c>
      <c r="G751" s="14">
        <v>27568</v>
      </c>
      <c r="H751" s="13" t="s">
        <v>37</v>
      </c>
      <c r="I751" s="13" t="s">
        <v>38</v>
      </c>
    </row>
    <row r="752" spans="1:9" x14ac:dyDescent="0.3">
      <c r="A752" s="12">
        <v>45838</v>
      </c>
      <c r="B752" s="13" t="s">
        <v>23</v>
      </c>
      <c r="C752" s="13" t="s">
        <v>15</v>
      </c>
      <c r="D752" s="13" t="s">
        <v>28</v>
      </c>
      <c r="E752" s="13">
        <v>1</v>
      </c>
      <c r="F752" s="14">
        <v>22315</v>
      </c>
      <c r="G752" s="14">
        <v>22315</v>
      </c>
      <c r="H752" s="13" t="s">
        <v>37</v>
      </c>
      <c r="I752" s="13" t="s">
        <v>38</v>
      </c>
    </row>
    <row r="753" spans="1:9" x14ac:dyDescent="0.3">
      <c r="A753" s="12">
        <v>45838</v>
      </c>
      <c r="B753" s="13" t="s">
        <v>17</v>
      </c>
      <c r="C753" s="13" t="s">
        <v>22</v>
      </c>
      <c r="D753" s="13" t="s">
        <v>24</v>
      </c>
      <c r="E753" s="13">
        <v>8</v>
      </c>
      <c r="F753" s="14">
        <v>8295</v>
      </c>
      <c r="G753" s="14">
        <v>66360</v>
      </c>
      <c r="H753" s="13" t="s">
        <v>37</v>
      </c>
      <c r="I753" s="13" t="s">
        <v>38</v>
      </c>
    </row>
    <row r="754" spans="1:9" x14ac:dyDescent="0.3">
      <c r="A754" s="12">
        <v>45839</v>
      </c>
      <c r="B754" s="13" t="s">
        <v>23</v>
      </c>
      <c r="C754" s="13" t="s">
        <v>19</v>
      </c>
      <c r="D754" s="13" t="s">
        <v>16</v>
      </c>
      <c r="E754" s="13">
        <v>6</v>
      </c>
      <c r="F754" s="14">
        <v>18846</v>
      </c>
      <c r="G754" s="14">
        <v>113076</v>
      </c>
      <c r="H754" s="13" t="s">
        <v>39</v>
      </c>
      <c r="I754" s="13" t="s">
        <v>40</v>
      </c>
    </row>
    <row r="755" spans="1:9" x14ac:dyDescent="0.3">
      <c r="A755" s="12">
        <v>45839</v>
      </c>
      <c r="B755" s="13" t="s">
        <v>9</v>
      </c>
      <c r="C755" s="13" t="s">
        <v>22</v>
      </c>
      <c r="D755" s="13" t="s">
        <v>16</v>
      </c>
      <c r="E755" s="13">
        <v>9</v>
      </c>
      <c r="F755" s="14">
        <v>8114</v>
      </c>
      <c r="G755" s="14">
        <v>73026</v>
      </c>
      <c r="H755" s="13" t="s">
        <v>39</v>
      </c>
      <c r="I755" s="13" t="s">
        <v>40</v>
      </c>
    </row>
    <row r="756" spans="1:9" x14ac:dyDescent="0.3">
      <c r="A756" s="12">
        <v>45840</v>
      </c>
      <c r="B756" s="13" t="s">
        <v>17</v>
      </c>
      <c r="C756" s="13" t="s">
        <v>25</v>
      </c>
      <c r="D756" s="13" t="s">
        <v>24</v>
      </c>
      <c r="E756" s="13">
        <v>8</v>
      </c>
      <c r="F756" s="14">
        <v>56656</v>
      </c>
      <c r="G756" s="14">
        <v>453248</v>
      </c>
      <c r="H756" s="13" t="s">
        <v>39</v>
      </c>
      <c r="I756" s="13" t="s">
        <v>40</v>
      </c>
    </row>
    <row r="757" spans="1:9" x14ac:dyDescent="0.3">
      <c r="A757" s="12">
        <v>45840</v>
      </c>
      <c r="B757" s="13" t="s">
        <v>23</v>
      </c>
      <c r="C757" s="13" t="s">
        <v>25</v>
      </c>
      <c r="D757" s="13" t="s">
        <v>24</v>
      </c>
      <c r="E757" s="13">
        <v>8</v>
      </c>
      <c r="F757" s="14">
        <v>53988</v>
      </c>
      <c r="G757" s="14">
        <v>431904</v>
      </c>
      <c r="H757" s="13" t="s">
        <v>39</v>
      </c>
      <c r="I757" s="13" t="s">
        <v>40</v>
      </c>
    </row>
    <row r="758" spans="1:9" x14ac:dyDescent="0.3">
      <c r="A758" s="12">
        <v>45840</v>
      </c>
      <c r="B758" s="13" t="s">
        <v>23</v>
      </c>
      <c r="C758" s="13" t="s">
        <v>10</v>
      </c>
      <c r="D758" s="13" t="s">
        <v>28</v>
      </c>
      <c r="E758" s="13">
        <v>2</v>
      </c>
      <c r="F758" s="14">
        <v>11884</v>
      </c>
      <c r="G758" s="14">
        <v>23768</v>
      </c>
      <c r="H758" s="13" t="s">
        <v>39</v>
      </c>
      <c r="I758" s="13" t="s">
        <v>40</v>
      </c>
    </row>
    <row r="759" spans="1:9" x14ac:dyDescent="0.3">
      <c r="A759" s="12">
        <v>45840</v>
      </c>
      <c r="B759" s="13" t="s">
        <v>9</v>
      </c>
      <c r="C759" s="13" t="s">
        <v>22</v>
      </c>
      <c r="D759" s="13" t="s">
        <v>28</v>
      </c>
      <c r="E759" s="13">
        <v>2</v>
      </c>
      <c r="F759" s="14">
        <v>8233</v>
      </c>
      <c r="G759" s="14">
        <v>16466</v>
      </c>
      <c r="H759" s="13" t="s">
        <v>39</v>
      </c>
      <c r="I759" s="13" t="s">
        <v>40</v>
      </c>
    </row>
    <row r="760" spans="1:9" x14ac:dyDescent="0.3">
      <c r="A760" s="12">
        <v>45840</v>
      </c>
      <c r="B760" s="13" t="s">
        <v>20</v>
      </c>
      <c r="C760" s="13" t="s">
        <v>22</v>
      </c>
      <c r="D760" s="13" t="s">
        <v>16</v>
      </c>
      <c r="E760" s="13">
        <v>8</v>
      </c>
      <c r="F760" s="14">
        <v>8360</v>
      </c>
      <c r="G760" s="14">
        <v>66880</v>
      </c>
      <c r="H760" s="13" t="s">
        <v>39</v>
      </c>
      <c r="I760" s="13" t="s">
        <v>40</v>
      </c>
    </row>
    <row r="761" spans="1:9" x14ac:dyDescent="0.3">
      <c r="A761" s="12">
        <v>45841</v>
      </c>
      <c r="B761" s="13" t="s">
        <v>9</v>
      </c>
      <c r="C761" s="13" t="s">
        <v>15</v>
      </c>
      <c r="D761" s="13" t="s">
        <v>24</v>
      </c>
      <c r="E761" s="13">
        <v>6</v>
      </c>
      <c r="F761" s="14">
        <v>22132</v>
      </c>
      <c r="G761" s="14">
        <v>132792</v>
      </c>
      <c r="H761" s="13" t="s">
        <v>39</v>
      </c>
      <c r="I761" s="13" t="s">
        <v>40</v>
      </c>
    </row>
    <row r="762" spans="1:9" x14ac:dyDescent="0.3">
      <c r="A762" s="12">
        <v>45841</v>
      </c>
      <c r="B762" s="13" t="s">
        <v>23</v>
      </c>
      <c r="C762" s="13" t="s">
        <v>10</v>
      </c>
      <c r="D762" s="13" t="s">
        <v>26</v>
      </c>
      <c r="E762" s="13">
        <v>8</v>
      </c>
      <c r="F762" s="14">
        <v>11536</v>
      </c>
      <c r="G762" s="14">
        <v>92288</v>
      </c>
      <c r="H762" s="13" t="s">
        <v>39</v>
      </c>
      <c r="I762" s="13" t="s">
        <v>40</v>
      </c>
    </row>
    <row r="763" spans="1:9" x14ac:dyDescent="0.3">
      <c r="A763" s="12">
        <v>45841</v>
      </c>
      <c r="B763" s="13" t="s">
        <v>17</v>
      </c>
      <c r="C763" s="13" t="s">
        <v>25</v>
      </c>
      <c r="D763" s="13" t="s">
        <v>26</v>
      </c>
      <c r="E763" s="13">
        <v>6</v>
      </c>
      <c r="F763" s="14">
        <v>56814</v>
      </c>
      <c r="G763" s="14">
        <v>340884</v>
      </c>
      <c r="H763" s="13" t="s">
        <v>39</v>
      </c>
      <c r="I763" s="13" t="s">
        <v>40</v>
      </c>
    </row>
    <row r="764" spans="1:9" x14ac:dyDescent="0.3">
      <c r="A764" s="12">
        <v>45841</v>
      </c>
      <c r="B764" s="13" t="s">
        <v>20</v>
      </c>
      <c r="C764" s="13" t="s">
        <v>22</v>
      </c>
      <c r="D764" s="13" t="s">
        <v>26</v>
      </c>
      <c r="E764" s="13">
        <v>2</v>
      </c>
      <c r="F764" s="14">
        <v>7636</v>
      </c>
      <c r="G764" s="14">
        <v>15272</v>
      </c>
      <c r="H764" s="13" t="s">
        <v>39</v>
      </c>
      <c r="I764" s="13" t="s">
        <v>40</v>
      </c>
    </row>
    <row r="765" spans="1:9" x14ac:dyDescent="0.3">
      <c r="A765" s="12">
        <v>45842</v>
      </c>
      <c r="B765" s="13" t="s">
        <v>23</v>
      </c>
      <c r="C765" s="13" t="s">
        <v>15</v>
      </c>
      <c r="D765" s="13" t="s">
        <v>18</v>
      </c>
      <c r="E765" s="13">
        <v>2</v>
      </c>
      <c r="F765" s="14">
        <v>21459</v>
      </c>
      <c r="G765" s="14">
        <v>42918</v>
      </c>
      <c r="H765" s="13" t="s">
        <v>39</v>
      </c>
      <c r="I765" s="13" t="s">
        <v>40</v>
      </c>
    </row>
    <row r="766" spans="1:9" x14ac:dyDescent="0.3">
      <c r="A766" s="12">
        <v>45842</v>
      </c>
      <c r="B766" s="13" t="s">
        <v>17</v>
      </c>
      <c r="C766" s="13" t="s">
        <v>15</v>
      </c>
      <c r="D766" s="13" t="s">
        <v>14</v>
      </c>
      <c r="E766" s="13">
        <v>7</v>
      </c>
      <c r="F766" s="14">
        <v>21374</v>
      </c>
      <c r="G766" s="14">
        <v>149618</v>
      </c>
      <c r="H766" s="13" t="s">
        <v>39</v>
      </c>
      <c r="I766" s="13" t="s">
        <v>40</v>
      </c>
    </row>
    <row r="767" spans="1:9" x14ac:dyDescent="0.3">
      <c r="A767" s="12">
        <v>45842</v>
      </c>
      <c r="B767" s="13" t="s">
        <v>17</v>
      </c>
      <c r="C767" s="13" t="s">
        <v>10</v>
      </c>
      <c r="D767" s="13" t="s">
        <v>26</v>
      </c>
      <c r="E767" s="13">
        <v>2</v>
      </c>
      <c r="F767" s="14">
        <v>12308</v>
      </c>
      <c r="G767" s="14">
        <v>24616</v>
      </c>
      <c r="H767" s="13" t="s">
        <v>39</v>
      </c>
      <c r="I767" s="13" t="s">
        <v>40</v>
      </c>
    </row>
    <row r="768" spans="1:9" x14ac:dyDescent="0.3">
      <c r="A768" s="12">
        <v>45843</v>
      </c>
      <c r="B768" s="13" t="s">
        <v>9</v>
      </c>
      <c r="C768" s="13" t="s">
        <v>21</v>
      </c>
      <c r="D768" s="13" t="s">
        <v>24</v>
      </c>
      <c r="E768" s="13">
        <v>10</v>
      </c>
      <c r="F768" s="14">
        <v>3659</v>
      </c>
      <c r="G768" s="14">
        <v>36590</v>
      </c>
      <c r="H768" s="13" t="s">
        <v>39</v>
      </c>
      <c r="I768" s="13" t="s">
        <v>40</v>
      </c>
    </row>
    <row r="769" spans="1:9" x14ac:dyDescent="0.3">
      <c r="A769" s="12">
        <v>45843</v>
      </c>
      <c r="B769" s="13" t="s">
        <v>17</v>
      </c>
      <c r="C769" s="13" t="s">
        <v>21</v>
      </c>
      <c r="D769" s="13" t="s">
        <v>28</v>
      </c>
      <c r="E769" s="13">
        <v>9</v>
      </c>
      <c r="F769" s="14">
        <v>3582</v>
      </c>
      <c r="G769" s="14">
        <v>32238</v>
      </c>
      <c r="H769" s="13" t="s">
        <v>39</v>
      </c>
      <c r="I769" s="13" t="s">
        <v>40</v>
      </c>
    </row>
    <row r="770" spans="1:9" x14ac:dyDescent="0.3">
      <c r="A770" s="12">
        <v>45844</v>
      </c>
      <c r="B770" s="13" t="s">
        <v>23</v>
      </c>
      <c r="C770" s="13" t="s">
        <v>22</v>
      </c>
      <c r="D770" s="13" t="s">
        <v>24</v>
      </c>
      <c r="E770" s="13">
        <v>9</v>
      </c>
      <c r="F770" s="14">
        <v>8224</v>
      </c>
      <c r="G770" s="14">
        <v>74016</v>
      </c>
      <c r="H770" s="13" t="s">
        <v>39</v>
      </c>
      <c r="I770" s="13" t="s">
        <v>40</v>
      </c>
    </row>
    <row r="771" spans="1:9" x14ac:dyDescent="0.3">
      <c r="A771" s="12">
        <v>45844</v>
      </c>
      <c r="B771" s="13" t="s">
        <v>17</v>
      </c>
      <c r="C771" s="13" t="s">
        <v>10</v>
      </c>
      <c r="D771" s="13" t="s">
        <v>27</v>
      </c>
      <c r="E771" s="13">
        <v>3</v>
      </c>
      <c r="F771" s="14">
        <v>11524</v>
      </c>
      <c r="G771" s="14">
        <v>34572</v>
      </c>
      <c r="H771" s="13" t="s">
        <v>39</v>
      </c>
      <c r="I771" s="13" t="s">
        <v>40</v>
      </c>
    </row>
    <row r="772" spans="1:9" x14ac:dyDescent="0.3">
      <c r="A772" s="12">
        <v>45844</v>
      </c>
      <c r="B772" s="13" t="s">
        <v>20</v>
      </c>
      <c r="C772" s="13" t="s">
        <v>22</v>
      </c>
      <c r="D772" s="13" t="s">
        <v>18</v>
      </c>
      <c r="E772" s="13">
        <v>7</v>
      </c>
      <c r="F772" s="14">
        <v>8383</v>
      </c>
      <c r="G772" s="14">
        <v>58681</v>
      </c>
      <c r="H772" s="13" t="s">
        <v>39</v>
      </c>
      <c r="I772" s="13" t="s">
        <v>40</v>
      </c>
    </row>
    <row r="773" spans="1:9" x14ac:dyDescent="0.3">
      <c r="A773" s="12">
        <v>45844</v>
      </c>
      <c r="B773" s="13" t="s">
        <v>17</v>
      </c>
      <c r="C773" s="13" t="s">
        <v>19</v>
      </c>
      <c r="D773" s="13" t="s">
        <v>18</v>
      </c>
      <c r="E773" s="13">
        <v>6</v>
      </c>
      <c r="F773" s="14">
        <v>18846</v>
      </c>
      <c r="G773" s="14">
        <v>113076</v>
      </c>
      <c r="H773" s="13" t="s">
        <v>39</v>
      </c>
      <c r="I773" s="13" t="s">
        <v>40</v>
      </c>
    </row>
    <row r="774" spans="1:9" x14ac:dyDescent="0.3">
      <c r="A774" s="12">
        <v>45844</v>
      </c>
      <c r="B774" s="13" t="s">
        <v>23</v>
      </c>
      <c r="C774" s="13" t="s">
        <v>15</v>
      </c>
      <c r="D774" s="13" t="s">
        <v>27</v>
      </c>
      <c r="E774" s="13">
        <v>7</v>
      </c>
      <c r="F774" s="14">
        <v>22225</v>
      </c>
      <c r="G774" s="14">
        <v>155575</v>
      </c>
      <c r="H774" s="13" t="s">
        <v>39</v>
      </c>
      <c r="I774" s="13" t="s">
        <v>40</v>
      </c>
    </row>
    <row r="775" spans="1:9" x14ac:dyDescent="0.3">
      <c r="A775" s="12">
        <v>45844</v>
      </c>
      <c r="B775" s="13" t="s">
        <v>20</v>
      </c>
      <c r="C775" s="13" t="s">
        <v>10</v>
      </c>
      <c r="D775" s="13" t="s">
        <v>26</v>
      </c>
      <c r="E775" s="13">
        <v>9</v>
      </c>
      <c r="F775" s="14">
        <v>12159</v>
      </c>
      <c r="G775" s="14">
        <v>109431</v>
      </c>
      <c r="H775" s="13" t="s">
        <v>39</v>
      </c>
      <c r="I775" s="13" t="s">
        <v>40</v>
      </c>
    </row>
    <row r="776" spans="1:9" x14ac:dyDescent="0.3">
      <c r="A776" s="12">
        <v>45845</v>
      </c>
      <c r="B776" s="13" t="s">
        <v>17</v>
      </c>
      <c r="C776" s="13" t="s">
        <v>22</v>
      </c>
      <c r="D776" s="13" t="s">
        <v>11</v>
      </c>
      <c r="E776" s="13">
        <v>6</v>
      </c>
      <c r="F776" s="14">
        <v>8336</v>
      </c>
      <c r="G776" s="14">
        <v>50016</v>
      </c>
      <c r="H776" s="13" t="s">
        <v>39</v>
      </c>
      <c r="I776" s="13" t="s">
        <v>40</v>
      </c>
    </row>
    <row r="777" spans="1:9" x14ac:dyDescent="0.3">
      <c r="A777" s="12">
        <v>45845</v>
      </c>
      <c r="B777" s="13" t="s">
        <v>17</v>
      </c>
      <c r="C777" s="13" t="s">
        <v>10</v>
      </c>
      <c r="D777" s="13" t="s">
        <v>27</v>
      </c>
      <c r="E777" s="13">
        <v>9</v>
      </c>
      <c r="F777" s="14">
        <v>12050</v>
      </c>
      <c r="G777" s="14">
        <v>108450</v>
      </c>
      <c r="H777" s="13" t="s">
        <v>39</v>
      </c>
      <c r="I777" s="13" t="s">
        <v>40</v>
      </c>
    </row>
    <row r="778" spans="1:9" x14ac:dyDescent="0.3">
      <c r="A778" s="12">
        <v>45845</v>
      </c>
      <c r="B778" s="13" t="s">
        <v>20</v>
      </c>
      <c r="C778" s="13" t="s">
        <v>10</v>
      </c>
      <c r="D778" s="13" t="s">
        <v>14</v>
      </c>
      <c r="E778" s="13">
        <v>6</v>
      </c>
      <c r="F778" s="14">
        <v>12074</v>
      </c>
      <c r="G778" s="14">
        <v>72444</v>
      </c>
      <c r="H778" s="13" t="s">
        <v>39</v>
      </c>
      <c r="I778" s="13" t="s">
        <v>40</v>
      </c>
    </row>
    <row r="779" spans="1:9" x14ac:dyDescent="0.3">
      <c r="A779" s="12">
        <v>45846</v>
      </c>
      <c r="B779" s="13" t="s">
        <v>23</v>
      </c>
      <c r="C779" s="13" t="s">
        <v>10</v>
      </c>
      <c r="D779" s="13" t="s">
        <v>11</v>
      </c>
      <c r="E779" s="13">
        <v>7</v>
      </c>
      <c r="F779" s="14">
        <v>12369</v>
      </c>
      <c r="G779" s="14">
        <v>86583</v>
      </c>
      <c r="H779" s="13" t="s">
        <v>39</v>
      </c>
      <c r="I779" s="13" t="s">
        <v>40</v>
      </c>
    </row>
    <row r="780" spans="1:9" x14ac:dyDescent="0.3">
      <c r="A780" s="12">
        <v>45846</v>
      </c>
      <c r="B780" s="13" t="s">
        <v>9</v>
      </c>
      <c r="C780" s="13" t="s">
        <v>25</v>
      </c>
      <c r="D780" s="13" t="s">
        <v>18</v>
      </c>
      <c r="E780" s="13">
        <v>3</v>
      </c>
      <c r="F780" s="14">
        <v>52541</v>
      </c>
      <c r="G780" s="14">
        <v>157623</v>
      </c>
      <c r="H780" s="13" t="s">
        <v>39</v>
      </c>
      <c r="I780" s="13" t="s">
        <v>40</v>
      </c>
    </row>
    <row r="781" spans="1:9" x14ac:dyDescent="0.3">
      <c r="A781" s="12">
        <v>45846</v>
      </c>
      <c r="B781" s="13" t="s">
        <v>9</v>
      </c>
      <c r="C781" s="13" t="s">
        <v>15</v>
      </c>
      <c r="D781" s="13" t="s">
        <v>11</v>
      </c>
      <c r="E781" s="13">
        <v>3</v>
      </c>
      <c r="F781" s="14">
        <v>23063</v>
      </c>
      <c r="G781" s="14">
        <v>69189</v>
      </c>
      <c r="H781" s="13" t="s">
        <v>39</v>
      </c>
      <c r="I781" s="13" t="s">
        <v>40</v>
      </c>
    </row>
    <row r="782" spans="1:9" x14ac:dyDescent="0.3">
      <c r="A782" s="12">
        <v>45846</v>
      </c>
      <c r="B782" s="13" t="s">
        <v>20</v>
      </c>
      <c r="C782" s="13" t="s">
        <v>15</v>
      </c>
      <c r="D782" s="13" t="s">
        <v>28</v>
      </c>
      <c r="E782" s="13">
        <v>5</v>
      </c>
      <c r="F782" s="14">
        <v>21348</v>
      </c>
      <c r="G782" s="14">
        <v>106740</v>
      </c>
      <c r="H782" s="13" t="s">
        <v>39</v>
      </c>
      <c r="I782" s="13" t="s">
        <v>40</v>
      </c>
    </row>
    <row r="783" spans="1:9" x14ac:dyDescent="0.3">
      <c r="A783" s="12">
        <v>45846</v>
      </c>
      <c r="B783" s="13" t="s">
        <v>9</v>
      </c>
      <c r="C783" s="13" t="s">
        <v>19</v>
      </c>
      <c r="D783" s="13" t="s">
        <v>24</v>
      </c>
      <c r="E783" s="13">
        <v>2</v>
      </c>
      <c r="F783" s="14">
        <v>18208</v>
      </c>
      <c r="G783" s="14">
        <v>36416</v>
      </c>
      <c r="H783" s="13" t="s">
        <v>39</v>
      </c>
      <c r="I783" s="13" t="s">
        <v>40</v>
      </c>
    </row>
    <row r="784" spans="1:9" x14ac:dyDescent="0.3">
      <c r="A784" s="12">
        <v>45846</v>
      </c>
      <c r="B784" s="13" t="s">
        <v>17</v>
      </c>
      <c r="C784" s="13" t="s">
        <v>10</v>
      </c>
      <c r="D784" s="13" t="s">
        <v>18</v>
      </c>
      <c r="E784" s="13">
        <v>4</v>
      </c>
      <c r="F784" s="14">
        <v>12013</v>
      </c>
      <c r="G784" s="14">
        <v>48052</v>
      </c>
      <c r="H784" s="13" t="s">
        <v>39</v>
      </c>
      <c r="I784" s="13" t="s">
        <v>40</v>
      </c>
    </row>
    <row r="785" spans="1:9" x14ac:dyDescent="0.3">
      <c r="A785" s="12">
        <v>45847</v>
      </c>
      <c r="B785" s="13" t="s">
        <v>9</v>
      </c>
      <c r="C785" s="13" t="s">
        <v>21</v>
      </c>
      <c r="D785" s="13" t="s">
        <v>18</v>
      </c>
      <c r="E785" s="13">
        <v>7</v>
      </c>
      <c r="F785" s="14">
        <v>3659</v>
      </c>
      <c r="G785" s="14">
        <v>25613</v>
      </c>
      <c r="H785" s="13" t="s">
        <v>39</v>
      </c>
      <c r="I785" s="13" t="s">
        <v>40</v>
      </c>
    </row>
    <row r="786" spans="1:9" x14ac:dyDescent="0.3">
      <c r="A786" s="12">
        <v>45847</v>
      </c>
      <c r="B786" s="13" t="s">
        <v>20</v>
      </c>
      <c r="C786" s="13" t="s">
        <v>22</v>
      </c>
      <c r="D786" s="13" t="s">
        <v>28</v>
      </c>
      <c r="E786" s="13">
        <v>1</v>
      </c>
      <c r="F786" s="14">
        <v>8194</v>
      </c>
      <c r="G786" s="14">
        <v>8194</v>
      </c>
      <c r="H786" s="13" t="s">
        <v>39</v>
      </c>
      <c r="I786" s="13" t="s">
        <v>40</v>
      </c>
    </row>
    <row r="787" spans="1:9" x14ac:dyDescent="0.3">
      <c r="A787" s="12">
        <v>45847</v>
      </c>
      <c r="B787" s="13" t="s">
        <v>17</v>
      </c>
      <c r="C787" s="13" t="s">
        <v>22</v>
      </c>
      <c r="D787" s="13" t="s">
        <v>24</v>
      </c>
      <c r="E787" s="13">
        <v>4</v>
      </c>
      <c r="F787" s="14">
        <v>8329</v>
      </c>
      <c r="G787" s="14">
        <v>33316</v>
      </c>
      <c r="H787" s="13" t="s">
        <v>39</v>
      </c>
      <c r="I787" s="13" t="s">
        <v>40</v>
      </c>
    </row>
    <row r="788" spans="1:9" x14ac:dyDescent="0.3">
      <c r="A788" s="12">
        <v>45847</v>
      </c>
      <c r="B788" s="13" t="s">
        <v>20</v>
      </c>
      <c r="C788" s="13" t="s">
        <v>22</v>
      </c>
      <c r="D788" s="13" t="s">
        <v>16</v>
      </c>
      <c r="E788" s="13">
        <v>4</v>
      </c>
      <c r="F788" s="14">
        <v>7835</v>
      </c>
      <c r="G788" s="14">
        <v>31340</v>
      </c>
      <c r="H788" s="13" t="s">
        <v>39</v>
      </c>
      <c r="I788" s="13" t="s">
        <v>40</v>
      </c>
    </row>
    <row r="789" spans="1:9" x14ac:dyDescent="0.3">
      <c r="A789" s="12">
        <v>45848</v>
      </c>
      <c r="B789" s="13" t="s">
        <v>9</v>
      </c>
      <c r="C789" s="13" t="s">
        <v>15</v>
      </c>
      <c r="D789" s="13" t="s">
        <v>27</v>
      </c>
      <c r="E789" s="13">
        <v>9</v>
      </c>
      <c r="F789" s="14">
        <v>21162</v>
      </c>
      <c r="G789" s="14">
        <v>190458</v>
      </c>
      <c r="H789" s="13" t="s">
        <v>39</v>
      </c>
      <c r="I789" s="13" t="s">
        <v>40</v>
      </c>
    </row>
    <row r="790" spans="1:9" x14ac:dyDescent="0.3">
      <c r="A790" s="12">
        <v>45848</v>
      </c>
      <c r="B790" s="13" t="s">
        <v>9</v>
      </c>
      <c r="C790" s="13" t="s">
        <v>21</v>
      </c>
      <c r="D790" s="13" t="s">
        <v>11</v>
      </c>
      <c r="E790" s="13">
        <v>9</v>
      </c>
      <c r="F790" s="14">
        <v>3417</v>
      </c>
      <c r="G790" s="14">
        <v>30753</v>
      </c>
      <c r="H790" s="13" t="s">
        <v>39</v>
      </c>
      <c r="I790" s="13" t="s">
        <v>40</v>
      </c>
    </row>
    <row r="791" spans="1:9" x14ac:dyDescent="0.3">
      <c r="A791" s="12">
        <v>45848</v>
      </c>
      <c r="B791" s="13" t="s">
        <v>17</v>
      </c>
      <c r="C791" s="13" t="s">
        <v>22</v>
      </c>
      <c r="D791" s="13" t="s">
        <v>11</v>
      </c>
      <c r="E791" s="13">
        <v>1</v>
      </c>
      <c r="F791" s="14">
        <v>7864</v>
      </c>
      <c r="G791" s="14">
        <v>7864</v>
      </c>
      <c r="H791" s="13" t="s">
        <v>39</v>
      </c>
      <c r="I791" s="13" t="s">
        <v>40</v>
      </c>
    </row>
    <row r="792" spans="1:9" x14ac:dyDescent="0.3">
      <c r="A792" s="12">
        <v>45849</v>
      </c>
      <c r="B792" s="13" t="s">
        <v>9</v>
      </c>
      <c r="C792" s="13" t="s">
        <v>15</v>
      </c>
      <c r="D792" s="13" t="s">
        <v>26</v>
      </c>
      <c r="E792" s="13">
        <v>10</v>
      </c>
      <c r="F792" s="14">
        <v>21011</v>
      </c>
      <c r="G792" s="14">
        <v>210110</v>
      </c>
      <c r="H792" s="13" t="s">
        <v>39</v>
      </c>
      <c r="I792" s="13" t="s">
        <v>40</v>
      </c>
    </row>
    <row r="793" spans="1:9" x14ac:dyDescent="0.3">
      <c r="A793" s="12">
        <v>45849</v>
      </c>
      <c r="B793" s="13" t="s">
        <v>20</v>
      </c>
      <c r="C793" s="13" t="s">
        <v>21</v>
      </c>
      <c r="D793" s="13" t="s">
        <v>26</v>
      </c>
      <c r="E793" s="13">
        <v>2</v>
      </c>
      <c r="F793" s="14">
        <v>3599</v>
      </c>
      <c r="G793" s="14">
        <v>7198</v>
      </c>
      <c r="H793" s="13" t="s">
        <v>39</v>
      </c>
      <c r="I793" s="13" t="s">
        <v>40</v>
      </c>
    </row>
    <row r="794" spans="1:9" x14ac:dyDescent="0.3">
      <c r="A794" s="12">
        <v>45849</v>
      </c>
      <c r="B794" s="13" t="s">
        <v>20</v>
      </c>
      <c r="C794" s="13" t="s">
        <v>22</v>
      </c>
      <c r="D794" s="13" t="s">
        <v>16</v>
      </c>
      <c r="E794" s="13">
        <v>3</v>
      </c>
      <c r="F794" s="14">
        <v>8016</v>
      </c>
      <c r="G794" s="14">
        <v>24048</v>
      </c>
      <c r="H794" s="13" t="s">
        <v>39</v>
      </c>
      <c r="I794" s="13" t="s">
        <v>40</v>
      </c>
    </row>
    <row r="795" spans="1:9" x14ac:dyDescent="0.3">
      <c r="A795" s="12">
        <v>45850</v>
      </c>
      <c r="B795" s="13" t="s">
        <v>17</v>
      </c>
      <c r="C795" s="13" t="s">
        <v>21</v>
      </c>
      <c r="D795" s="13" t="s">
        <v>18</v>
      </c>
      <c r="E795" s="13">
        <v>2</v>
      </c>
      <c r="F795" s="14">
        <v>3447</v>
      </c>
      <c r="G795" s="14">
        <v>6894</v>
      </c>
      <c r="H795" s="13" t="s">
        <v>39</v>
      </c>
      <c r="I795" s="13" t="s">
        <v>40</v>
      </c>
    </row>
    <row r="796" spans="1:9" x14ac:dyDescent="0.3">
      <c r="A796" s="12">
        <v>45850</v>
      </c>
      <c r="B796" s="13" t="s">
        <v>17</v>
      </c>
      <c r="C796" s="13" t="s">
        <v>10</v>
      </c>
      <c r="D796" s="13" t="s">
        <v>26</v>
      </c>
      <c r="E796" s="13">
        <v>6</v>
      </c>
      <c r="F796" s="14">
        <v>11832</v>
      </c>
      <c r="G796" s="14">
        <v>70992</v>
      </c>
      <c r="H796" s="13" t="s">
        <v>39</v>
      </c>
      <c r="I796" s="13" t="s">
        <v>40</v>
      </c>
    </row>
    <row r="797" spans="1:9" x14ac:dyDescent="0.3">
      <c r="A797" s="12">
        <v>45850</v>
      </c>
      <c r="B797" s="13" t="s">
        <v>17</v>
      </c>
      <c r="C797" s="13" t="s">
        <v>22</v>
      </c>
      <c r="D797" s="13" t="s">
        <v>24</v>
      </c>
      <c r="E797" s="13">
        <v>9</v>
      </c>
      <c r="F797" s="14">
        <v>8258</v>
      </c>
      <c r="G797" s="14">
        <v>74322</v>
      </c>
      <c r="H797" s="13" t="s">
        <v>39</v>
      </c>
      <c r="I797" s="13" t="s">
        <v>40</v>
      </c>
    </row>
    <row r="798" spans="1:9" x14ac:dyDescent="0.3">
      <c r="A798" s="12">
        <v>45850</v>
      </c>
      <c r="B798" s="13" t="s">
        <v>9</v>
      </c>
      <c r="C798" s="13" t="s">
        <v>25</v>
      </c>
      <c r="D798" s="13" t="s">
        <v>26</v>
      </c>
      <c r="E798" s="13">
        <v>8</v>
      </c>
      <c r="F798" s="14">
        <v>53571</v>
      </c>
      <c r="G798" s="14">
        <v>428568</v>
      </c>
      <c r="H798" s="13" t="s">
        <v>39</v>
      </c>
      <c r="I798" s="13" t="s">
        <v>40</v>
      </c>
    </row>
    <row r="799" spans="1:9" x14ac:dyDescent="0.3">
      <c r="A799" s="12">
        <v>45850</v>
      </c>
      <c r="B799" s="13" t="s">
        <v>17</v>
      </c>
      <c r="C799" s="13" t="s">
        <v>25</v>
      </c>
      <c r="D799" s="13" t="s">
        <v>26</v>
      </c>
      <c r="E799" s="13">
        <v>7</v>
      </c>
      <c r="F799" s="14">
        <v>57287</v>
      </c>
      <c r="G799" s="14">
        <v>401009</v>
      </c>
      <c r="H799" s="13" t="s">
        <v>39</v>
      </c>
      <c r="I799" s="13" t="s">
        <v>40</v>
      </c>
    </row>
    <row r="800" spans="1:9" x14ac:dyDescent="0.3">
      <c r="A800" s="12">
        <v>45850</v>
      </c>
      <c r="B800" s="13" t="s">
        <v>9</v>
      </c>
      <c r="C800" s="13" t="s">
        <v>21</v>
      </c>
      <c r="D800" s="13" t="s">
        <v>11</v>
      </c>
      <c r="E800" s="13">
        <v>9</v>
      </c>
      <c r="F800" s="14">
        <v>3578</v>
      </c>
      <c r="G800" s="14">
        <v>32202</v>
      </c>
      <c r="H800" s="13" t="s">
        <v>39</v>
      </c>
      <c r="I800" s="13" t="s">
        <v>40</v>
      </c>
    </row>
    <row r="801" spans="1:9" x14ac:dyDescent="0.3">
      <c r="A801" s="12">
        <v>45851</v>
      </c>
      <c r="B801" s="13" t="s">
        <v>20</v>
      </c>
      <c r="C801" s="13" t="s">
        <v>22</v>
      </c>
      <c r="D801" s="13" t="s">
        <v>24</v>
      </c>
      <c r="E801" s="13">
        <v>8</v>
      </c>
      <c r="F801" s="14">
        <v>7635</v>
      </c>
      <c r="G801" s="14">
        <v>61080</v>
      </c>
      <c r="H801" s="13" t="s">
        <v>39</v>
      </c>
      <c r="I801" s="13" t="s">
        <v>40</v>
      </c>
    </row>
    <row r="802" spans="1:9" x14ac:dyDescent="0.3">
      <c r="A802" s="12">
        <v>45851</v>
      </c>
      <c r="B802" s="13" t="s">
        <v>17</v>
      </c>
      <c r="C802" s="13" t="s">
        <v>19</v>
      </c>
      <c r="D802" s="13" t="s">
        <v>14</v>
      </c>
      <c r="E802" s="13">
        <v>2</v>
      </c>
      <c r="F802" s="14">
        <v>17401</v>
      </c>
      <c r="G802" s="14">
        <v>34802</v>
      </c>
      <c r="H802" s="13" t="s">
        <v>39</v>
      </c>
      <c r="I802" s="13" t="s">
        <v>40</v>
      </c>
    </row>
    <row r="803" spans="1:9" x14ac:dyDescent="0.3">
      <c r="A803" s="12">
        <v>45852</v>
      </c>
      <c r="B803" s="13" t="s">
        <v>9</v>
      </c>
      <c r="C803" s="13" t="s">
        <v>10</v>
      </c>
      <c r="D803" s="13" t="s">
        <v>14</v>
      </c>
      <c r="E803" s="13">
        <v>4</v>
      </c>
      <c r="F803" s="14">
        <v>12204</v>
      </c>
      <c r="G803" s="14">
        <v>48816</v>
      </c>
      <c r="H803" s="13" t="s">
        <v>39</v>
      </c>
      <c r="I803" s="13" t="s">
        <v>40</v>
      </c>
    </row>
    <row r="804" spans="1:9" x14ac:dyDescent="0.3">
      <c r="A804" s="12">
        <v>45852</v>
      </c>
      <c r="B804" s="13" t="s">
        <v>17</v>
      </c>
      <c r="C804" s="13" t="s">
        <v>10</v>
      </c>
      <c r="D804" s="13" t="s">
        <v>18</v>
      </c>
      <c r="E804" s="13">
        <v>2</v>
      </c>
      <c r="F804" s="14">
        <v>11646</v>
      </c>
      <c r="G804" s="14">
        <v>23292</v>
      </c>
      <c r="H804" s="13" t="s">
        <v>39</v>
      </c>
      <c r="I804" s="13" t="s">
        <v>40</v>
      </c>
    </row>
    <row r="805" spans="1:9" x14ac:dyDescent="0.3">
      <c r="A805" s="12">
        <v>45852</v>
      </c>
      <c r="B805" s="13" t="s">
        <v>23</v>
      </c>
      <c r="C805" s="13" t="s">
        <v>10</v>
      </c>
      <c r="D805" s="13" t="s">
        <v>14</v>
      </c>
      <c r="E805" s="13">
        <v>3</v>
      </c>
      <c r="F805" s="14">
        <v>11428</v>
      </c>
      <c r="G805" s="14">
        <v>34284</v>
      </c>
      <c r="H805" s="13" t="s">
        <v>39</v>
      </c>
      <c r="I805" s="13" t="s">
        <v>40</v>
      </c>
    </row>
    <row r="806" spans="1:9" x14ac:dyDescent="0.3">
      <c r="A806" s="12">
        <v>45852</v>
      </c>
      <c r="B806" s="13" t="s">
        <v>20</v>
      </c>
      <c r="C806" s="13" t="s">
        <v>25</v>
      </c>
      <c r="D806" s="13" t="s">
        <v>14</v>
      </c>
      <c r="E806" s="13">
        <v>2</v>
      </c>
      <c r="F806" s="14">
        <v>52548</v>
      </c>
      <c r="G806" s="14">
        <v>105096</v>
      </c>
      <c r="H806" s="13" t="s">
        <v>39</v>
      </c>
      <c r="I806" s="13" t="s">
        <v>40</v>
      </c>
    </row>
    <row r="807" spans="1:9" x14ac:dyDescent="0.3">
      <c r="A807" s="12">
        <v>45852</v>
      </c>
      <c r="B807" s="13" t="s">
        <v>20</v>
      </c>
      <c r="C807" s="13" t="s">
        <v>22</v>
      </c>
      <c r="D807" s="13" t="s">
        <v>14</v>
      </c>
      <c r="E807" s="13">
        <v>10</v>
      </c>
      <c r="F807" s="14">
        <v>8257</v>
      </c>
      <c r="G807" s="14">
        <v>82570</v>
      </c>
      <c r="H807" s="13" t="s">
        <v>39</v>
      </c>
      <c r="I807" s="13" t="s">
        <v>40</v>
      </c>
    </row>
    <row r="808" spans="1:9" x14ac:dyDescent="0.3">
      <c r="A808" s="12">
        <v>45852</v>
      </c>
      <c r="B808" s="13" t="s">
        <v>20</v>
      </c>
      <c r="C808" s="13" t="s">
        <v>21</v>
      </c>
      <c r="D808" s="13" t="s">
        <v>18</v>
      </c>
      <c r="E808" s="13">
        <v>8</v>
      </c>
      <c r="F808" s="14">
        <v>3545</v>
      </c>
      <c r="G808" s="14">
        <v>28360</v>
      </c>
      <c r="H808" s="13" t="s">
        <v>39</v>
      </c>
      <c r="I808" s="13" t="s">
        <v>40</v>
      </c>
    </row>
    <row r="809" spans="1:9" x14ac:dyDescent="0.3">
      <c r="A809" s="12">
        <v>45853</v>
      </c>
      <c r="B809" s="13" t="s">
        <v>20</v>
      </c>
      <c r="C809" s="13" t="s">
        <v>25</v>
      </c>
      <c r="D809" s="13" t="s">
        <v>18</v>
      </c>
      <c r="E809" s="13">
        <v>2</v>
      </c>
      <c r="F809" s="14">
        <v>55191</v>
      </c>
      <c r="G809" s="14">
        <v>110382</v>
      </c>
      <c r="H809" s="13" t="s">
        <v>39</v>
      </c>
      <c r="I809" s="13" t="s">
        <v>40</v>
      </c>
    </row>
    <row r="810" spans="1:9" x14ac:dyDescent="0.3">
      <c r="A810" s="12">
        <v>45853</v>
      </c>
      <c r="B810" s="13" t="s">
        <v>9</v>
      </c>
      <c r="C810" s="13" t="s">
        <v>10</v>
      </c>
      <c r="D810" s="13" t="s">
        <v>28</v>
      </c>
      <c r="E810" s="13">
        <v>2</v>
      </c>
      <c r="F810" s="14">
        <v>11829</v>
      </c>
      <c r="G810" s="14">
        <v>23658</v>
      </c>
      <c r="H810" s="13" t="s">
        <v>39</v>
      </c>
      <c r="I810" s="13" t="s">
        <v>40</v>
      </c>
    </row>
    <row r="811" spans="1:9" x14ac:dyDescent="0.3">
      <c r="A811" s="12">
        <v>45853</v>
      </c>
      <c r="B811" s="13" t="s">
        <v>9</v>
      </c>
      <c r="C811" s="13" t="s">
        <v>19</v>
      </c>
      <c r="D811" s="13" t="s">
        <v>11</v>
      </c>
      <c r="E811" s="13">
        <v>10</v>
      </c>
      <c r="F811" s="14">
        <v>17255</v>
      </c>
      <c r="G811" s="14">
        <v>172550</v>
      </c>
      <c r="H811" s="13" t="s">
        <v>39</v>
      </c>
      <c r="I811" s="13" t="s">
        <v>40</v>
      </c>
    </row>
    <row r="812" spans="1:9" x14ac:dyDescent="0.3">
      <c r="A812" s="12">
        <v>45853</v>
      </c>
      <c r="B812" s="13" t="s">
        <v>23</v>
      </c>
      <c r="C812" s="13" t="s">
        <v>21</v>
      </c>
      <c r="D812" s="13" t="s">
        <v>18</v>
      </c>
      <c r="E812" s="13">
        <v>1</v>
      </c>
      <c r="F812" s="14">
        <v>3490</v>
      </c>
      <c r="G812" s="14">
        <v>3490</v>
      </c>
      <c r="H812" s="13" t="s">
        <v>39</v>
      </c>
      <c r="I812" s="13" t="s">
        <v>40</v>
      </c>
    </row>
    <row r="813" spans="1:9" x14ac:dyDescent="0.3">
      <c r="A813" s="12">
        <v>45853</v>
      </c>
      <c r="B813" s="13" t="s">
        <v>17</v>
      </c>
      <c r="C813" s="13" t="s">
        <v>15</v>
      </c>
      <c r="D813" s="13" t="s">
        <v>18</v>
      </c>
      <c r="E813" s="13">
        <v>9</v>
      </c>
      <c r="F813" s="14">
        <v>21548</v>
      </c>
      <c r="G813" s="14">
        <v>193932</v>
      </c>
      <c r="H813" s="13" t="s">
        <v>39</v>
      </c>
      <c r="I813" s="13" t="s">
        <v>40</v>
      </c>
    </row>
    <row r="814" spans="1:9" x14ac:dyDescent="0.3">
      <c r="A814" s="12">
        <v>45854</v>
      </c>
      <c r="B814" s="13" t="s">
        <v>20</v>
      </c>
      <c r="C814" s="13" t="s">
        <v>10</v>
      </c>
      <c r="D814" s="13" t="s">
        <v>26</v>
      </c>
      <c r="E814" s="13">
        <v>1</v>
      </c>
      <c r="F814" s="14">
        <v>12064</v>
      </c>
      <c r="G814" s="14">
        <v>12064</v>
      </c>
      <c r="H814" s="13" t="s">
        <v>39</v>
      </c>
      <c r="I814" s="13" t="s">
        <v>40</v>
      </c>
    </row>
    <row r="815" spans="1:9" x14ac:dyDescent="0.3">
      <c r="A815" s="12">
        <v>45854</v>
      </c>
      <c r="B815" s="13" t="s">
        <v>17</v>
      </c>
      <c r="C815" s="13" t="s">
        <v>25</v>
      </c>
      <c r="D815" s="13" t="s">
        <v>28</v>
      </c>
      <c r="E815" s="13">
        <v>1</v>
      </c>
      <c r="F815" s="14">
        <v>55399</v>
      </c>
      <c r="G815" s="14">
        <v>55399</v>
      </c>
      <c r="H815" s="13" t="s">
        <v>39</v>
      </c>
      <c r="I815" s="13" t="s">
        <v>40</v>
      </c>
    </row>
    <row r="816" spans="1:9" x14ac:dyDescent="0.3">
      <c r="A816" s="12">
        <v>45854</v>
      </c>
      <c r="B816" s="13" t="s">
        <v>23</v>
      </c>
      <c r="C816" s="13" t="s">
        <v>22</v>
      </c>
      <c r="D816" s="13" t="s">
        <v>14</v>
      </c>
      <c r="E816" s="13">
        <v>5</v>
      </c>
      <c r="F816" s="14">
        <v>7768</v>
      </c>
      <c r="G816" s="14">
        <v>38840</v>
      </c>
      <c r="H816" s="13" t="s">
        <v>39</v>
      </c>
      <c r="I816" s="13" t="s">
        <v>40</v>
      </c>
    </row>
    <row r="817" spans="1:9" x14ac:dyDescent="0.3">
      <c r="A817" s="12">
        <v>45855</v>
      </c>
      <c r="B817" s="13" t="s">
        <v>17</v>
      </c>
      <c r="C817" s="13" t="s">
        <v>21</v>
      </c>
      <c r="D817" s="13" t="s">
        <v>27</v>
      </c>
      <c r="E817" s="13">
        <v>3</v>
      </c>
      <c r="F817" s="14">
        <v>3389</v>
      </c>
      <c r="G817" s="14">
        <v>10167</v>
      </c>
      <c r="H817" s="13" t="s">
        <v>39</v>
      </c>
      <c r="I817" s="13" t="s">
        <v>40</v>
      </c>
    </row>
    <row r="818" spans="1:9" x14ac:dyDescent="0.3">
      <c r="A818" s="12">
        <v>45855</v>
      </c>
      <c r="B818" s="13" t="s">
        <v>20</v>
      </c>
      <c r="C818" s="13" t="s">
        <v>15</v>
      </c>
      <c r="D818" s="13" t="s">
        <v>14</v>
      </c>
      <c r="E818" s="13">
        <v>3</v>
      </c>
      <c r="F818" s="14">
        <v>22376</v>
      </c>
      <c r="G818" s="14">
        <v>67128</v>
      </c>
      <c r="H818" s="13" t="s">
        <v>39</v>
      </c>
      <c r="I818" s="13" t="s">
        <v>40</v>
      </c>
    </row>
    <row r="819" spans="1:9" x14ac:dyDescent="0.3">
      <c r="A819" s="12">
        <v>45855</v>
      </c>
      <c r="B819" s="13" t="s">
        <v>9</v>
      </c>
      <c r="C819" s="13" t="s">
        <v>22</v>
      </c>
      <c r="D819" s="13" t="s">
        <v>24</v>
      </c>
      <c r="E819" s="13">
        <v>9</v>
      </c>
      <c r="F819" s="14">
        <v>7658</v>
      </c>
      <c r="G819" s="14">
        <v>68922</v>
      </c>
      <c r="H819" s="13" t="s">
        <v>39</v>
      </c>
      <c r="I819" s="13" t="s">
        <v>40</v>
      </c>
    </row>
    <row r="820" spans="1:9" x14ac:dyDescent="0.3">
      <c r="A820" s="12">
        <v>45855</v>
      </c>
      <c r="B820" s="13" t="s">
        <v>9</v>
      </c>
      <c r="C820" s="13" t="s">
        <v>19</v>
      </c>
      <c r="D820" s="13" t="s">
        <v>14</v>
      </c>
      <c r="E820" s="13">
        <v>4</v>
      </c>
      <c r="F820" s="14">
        <v>18406</v>
      </c>
      <c r="G820" s="14">
        <v>73624</v>
      </c>
      <c r="H820" s="13" t="s">
        <v>39</v>
      </c>
      <c r="I820" s="13" t="s">
        <v>40</v>
      </c>
    </row>
    <row r="821" spans="1:9" x14ac:dyDescent="0.3">
      <c r="A821" s="12">
        <v>45856</v>
      </c>
      <c r="B821" s="13" t="s">
        <v>20</v>
      </c>
      <c r="C821" s="13" t="s">
        <v>19</v>
      </c>
      <c r="D821" s="13" t="s">
        <v>27</v>
      </c>
      <c r="E821" s="13">
        <v>4</v>
      </c>
      <c r="F821" s="14">
        <v>17280</v>
      </c>
      <c r="G821" s="14">
        <v>69120</v>
      </c>
      <c r="H821" s="13" t="s">
        <v>39</v>
      </c>
      <c r="I821" s="13" t="s">
        <v>40</v>
      </c>
    </row>
    <row r="822" spans="1:9" x14ac:dyDescent="0.3">
      <c r="A822" s="12">
        <v>45856</v>
      </c>
      <c r="B822" s="13" t="s">
        <v>9</v>
      </c>
      <c r="C822" s="13" t="s">
        <v>15</v>
      </c>
      <c r="D822" s="13" t="s">
        <v>26</v>
      </c>
      <c r="E822" s="13">
        <v>8</v>
      </c>
      <c r="F822" s="14">
        <v>21891</v>
      </c>
      <c r="G822" s="14">
        <v>175128</v>
      </c>
      <c r="H822" s="13" t="s">
        <v>39</v>
      </c>
      <c r="I822" s="13" t="s">
        <v>40</v>
      </c>
    </row>
    <row r="823" spans="1:9" x14ac:dyDescent="0.3">
      <c r="A823" s="12">
        <v>45856</v>
      </c>
      <c r="B823" s="13" t="s">
        <v>20</v>
      </c>
      <c r="C823" s="13" t="s">
        <v>10</v>
      </c>
      <c r="D823" s="13" t="s">
        <v>27</v>
      </c>
      <c r="E823" s="13">
        <v>10</v>
      </c>
      <c r="F823" s="14">
        <v>12080</v>
      </c>
      <c r="G823" s="14">
        <v>120800</v>
      </c>
      <c r="H823" s="13" t="s">
        <v>39</v>
      </c>
      <c r="I823" s="13" t="s">
        <v>40</v>
      </c>
    </row>
    <row r="824" spans="1:9" x14ac:dyDescent="0.3">
      <c r="A824" s="12">
        <v>45856</v>
      </c>
      <c r="B824" s="13" t="s">
        <v>20</v>
      </c>
      <c r="C824" s="13" t="s">
        <v>21</v>
      </c>
      <c r="D824" s="13" t="s">
        <v>27</v>
      </c>
      <c r="E824" s="13">
        <v>1</v>
      </c>
      <c r="F824" s="14">
        <v>3434</v>
      </c>
      <c r="G824" s="14">
        <v>3434</v>
      </c>
      <c r="H824" s="13" t="s">
        <v>39</v>
      </c>
      <c r="I824" s="13" t="s">
        <v>40</v>
      </c>
    </row>
    <row r="825" spans="1:9" x14ac:dyDescent="0.3">
      <c r="A825" s="12">
        <v>45856</v>
      </c>
      <c r="B825" s="13" t="s">
        <v>17</v>
      </c>
      <c r="C825" s="13" t="s">
        <v>10</v>
      </c>
      <c r="D825" s="13" t="s">
        <v>18</v>
      </c>
      <c r="E825" s="13">
        <v>5</v>
      </c>
      <c r="F825" s="14">
        <v>12408</v>
      </c>
      <c r="G825" s="14">
        <v>62040</v>
      </c>
      <c r="H825" s="13" t="s">
        <v>39</v>
      </c>
      <c r="I825" s="13" t="s">
        <v>40</v>
      </c>
    </row>
    <row r="826" spans="1:9" x14ac:dyDescent="0.3">
      <c r="A826" s="12">
        <v>45857</v>
      </c>
      <c r="B826" s="13" t="s">
        <v>20</v>
      </c>
      <c r="C826" s="13" t="s">
        <v>21</v>
      </c>
      <c r="D826" s="13" t="s">
        <v>24</v>
      </c>
      <c r="E826" s="13">
        <v>8</v>
      </c>
      <c r="F826" s="14">
        <v>3450</v>
      </c>
      <c r="G826" s="14">
        <v>27600</v>
      </c>
      <c r="H826" s="13" t="s">
        <v>39</v>
      </c>
      <c r="I826" s="13" t="s">
        <v>40</v>
      </c>
    </row>
    <row r="827" spans="1:9" x14ac:dyDescent="0.3">
      <c r="A827" s="12">
        <v>45857</v>
      </c>
      <c r="B827" s="13" t="s">
        <v>20</v>
      </c>
      <c r="C827" s="13" t="s">
        <v>21</v>
      </c>
      <c r="D827" s="13" t="s">
        <v>14</v>
      </c>
      <c r="E827" s="13">
        <v>3</v>
      </c>
      <c r="F827" s="14">
        <v>3550</v>
      </c>
      <c r="G827" s="14">
        <v>10650</v>
      </c>
      <c r="H827" s="13" t="s">
        <v>39</v>
      </c>
      <c r="I827" s="13" t="s">
        <v>40</v>
      </c>
    </row>
    <row r="828" spans="1:9" x14ac:dyDescent="0.3">
      <c r="A828" s="12">
        <v>45857</v>
      </c>
      <c r="B828" s="13" t="s">
        <v>9</v>
      </c>
      <c r="C828" s="13" t="s">
        <v>19</v>
      </c>
      <c r="D828" s="13" t="s">
        <v>27</v>
      </c>
      <c r="E828" s="13">
        <v>9</v>
      </c>
      <c r="F828" s="14">
        <v>17453</v>
      </c>
      <c r="G828" s="14">
        <v>157077</v>
      </c>
      <c r="H828" s="13" t="s">
        <v>39</v>
      </c>
      <c r="I828" s="13" t="s">
        <v>40</v>
      </c>
    </row>
    <row r="829" spans="1:9" x14ac:dyDescent="0.3">
      <c r="A829" s="12">
        <v>45858</v>
      </c>
      <c r="B829" s="13" t="s">
        <v>9</v>
      </c>
      <c r="C829" s="13" t="s">
        <v>25</v>
      </c>
      <c r="D829" s="13" t="s">
        <v>28</v>
      </c>
      <c r="E829" s="13">
        <v>10</v>
      </c>
      <c r="F829" s="14">
        <v>55433</v>
      </c>
      <c r="G829" s="14">
        <v>554330</v>
      </c>
      <c r="H829" s="13" t="s">
        <v>39</v>
      </c>
      <c r="I829" s="13" t="s">
        <v>40</v>
      </c>
    </row>
    <row r="830" spans="1:9" x14ac:dyDescent="0.3">
      <c r="A830" s="12">
        <v>45858</v>
      </c>
      <c r="B830" s="13" t="s">
        <v>17</v>
      </c>
      <c r="C830" s="13" t="s">
        <v>25</v>
      </c>
      <c r="D830" s="13" t="s">
        <v>11</v>
      </c>
      <c r="E830" s="13">
        <v>9</v>
      </c>
      <c r="F830" s="14">
        <v>57166</v>
      </c>
      <c r="G830" s="14">
        <v>514494</v>
      </c>
      <c r="H830" s="13" t="s">
        <v>39</v>
      </c>
      <c r="I830" s="13" t="s">
        <v>40</v>
      </c>
    </row>
    <row r="831" spans="1:9" x14ac:dyDescent="0.3">
      <c r="A831" s="12">
        <v>45859</v>
      </c>
      <c r="B831" s="13" t="s">
        <v>23</v>
      </c>
      <c r="C831" s="13" t="s">
        <v>10</v>
      </c>
      <c r="D831" s="13" t="s">
        <v>27</v>
      </c>
      <c r="E831" s="13">
        <v>6</v>
      </c>
      <c r="F831" s="14">
        <v>11870</v>
      </c>
      <c r="G831" s="14">
        <v>71220</v>
      </c>
      <c r="H831" s="13" t="s">
        <v>39</v>
      </c>
      <c r="I831" s="13" t="s">
        <v>40</v>
      </c>
    </row>
    <row r="832" spans="1:9" x14ac:dyDescent="0.3">
      <c r="A832" s="12">
        <v>45859</v>
      </c>
      <c r="B832" s="13" t="s">
        <v>20</v>
      </c>
      <c r="C832" s="13" t="s">
        <v>15</v>
      </c>
      <c r="D832" s="13" t="s">
        <v>24</v>
      </c>
      <c r="E832" s="13">
        <v>9</v>
      </c>
      <c r="F832" s="14">
        <v>22022</v>
      </c>
      <c r="G832" s="14">
        <v>198198</v>
      </c>
      <c r="H832" s="13" t="s">
        <v>39</v>
      </c>
      <c r="I832" s="13" t="s">
        <v>40</v>
      </c>
    </row>
    <row r="833" spans="1:9" x14ac:dyDescent="0.3">
      <c r="A833" s="12">
        <v>45859</v>
      </c>
      <c r="B833" s="13" t="s">
        <v>23</v>
      </c>
      <c r="C833" s="13" t="s">
        <v>19</v>
      </c>
      <c r="D833" s="13" t="s">
        <v>28</v>
      </c>
      <c r="E833" s="13">
        <v>4</v>
      </c>
      <c r="F833" s="14">
        <v>18626</v>
      </c>
      <c r="G833" s="14">
        <v>74504</v>
      </c>
      <c r="H833" s="13" t="s">
        <v>39</v>
      </c>
      <c r="I833" s="13" t="s">
        <v>40</v>
      </c>
    </row>
    <row r="834" spans="1:9" x14ac:dyDescent="0.3">
      <c r="A834" s="12">
        <v>45859</v>
      </c>
      <c r="B834" s="13" t="s">
        <v>17</v>
      </c>
      <c r="C834" s="13" t="s">
        <v>22</v>
      </c>
      <c r="D834" s="13" t="s">
        <v>27</v>
      </c>
      <c r="E834" s="13">
        <v>8</v>
      </c>
      <c r="F834" s="14">
        <v>7727</v>
      </c>
      <c r="G834" s="14">
        <v>61816</v>
      </c>
      <c r="H834" s="13" t="s">
        <v>39</v>
      </c>
      <c r="I834" s="13" t="s">
        <v>40</v>
      </c>
    </row>
    <row r="835" spans="1:9" x14ac:dyDescent="0.3">
      <c r="A835" s="12">
        <v>45859</v>
      </c>
      <c r="B835" s="13" t="s">
        <v>17</v>
      </c>
      <c r="C835" s="13" t="s">
        <v>10</v>
      </c>
      <c r="D835" s="13" t="s">
        <v>24</v>
      </c>
      <c r="E835" s="13">
        <v>6</v>
      </c>
      <c r="F835" s="14">
        <v>11448</v>
      </c>
      <c r="G835" s="14">
        <v>68688</v>
      </c>
      <c r="H835" s="13" t="s">
        <v>39</v>
      </c>
      <c r="I835" s="13" t="s">
        <v>40</v>
      </c>
    </row>
    <row r="836" spans="1:9" x14ac:dyDescent="0.3">
      <c r="A836" s="12">
        <v>45859</v>
      </c>
      <c r="B836" s="13" t="s">
        <v>23</v>
      </c>
      <c r="C836" s="13" t="s">
        <v>15</v>
      </c>
      <c r="D836" s="13" t="s">
        <v>14</v>
      </c>
      <c r="E836" s="13">
        <v>5</v>
      </c>
      <c r="F836" s="14">
        <v>21712</v>
      </c>
      <c r="G836" s="14">
        <v>108560</v>
      </c>
      <c r="H836" s="13" t="s">
        <v>39</v>
      </c>
      <c r="I836" s="13" t="s">
        <v>40</v>
      </c>
    </row>
    <row r="837" spans="1:9" x14ac:dyDescent="0.3">
      <c r="A837" s="12">
        <v>45860</v>
      </c>
      <c r="B837" s="13" t="s">
        <v>17</v>
      </c>
      <c r="C837" s="13" t="s">
        <v>22</v>
      </c>
      <c r="D837" s="13" t="s">
        <v>26</v>
      </c>
      <c r="E837" s="13">
        <v>7</v>
      </c>
      <c r="F837" s="14">
        <v>7975</v>
      </c>
      <c r="G837" s="14">
        <v>55825</v>
      </c>
      <c r="H837" s="13" t="s">
        <v>39</v>
      </c>
      <c r="I837" s="13" t="s">
        <v>40</v>
      </c>
    </row>
    <row r="838" spans="1:9" x14ac:dyDescent="0.3">
      <c r="A838" s="12">
        <v>45860</v>
      </c>
      <c r="B838" s="13" t="s">
        <v>23</v>
      </c>
      <c r="C838" s="13" t="s">
        <v>25</v>
      </c>
      <c r="D838" s="13" t="s">
        <v>28</v>
      </c>
      <c r="E838" s="13">
        <v>6</v>
      </c>
      <c r="F838" s="14">
        <v>52817</v>
      </c>
      <c r="G838" s="14">
        <v>316902</v>
      </c>
      <c r="H838" s="13" t="s">
        <v>39</v>
      </c>
      <c r="I838" s="13" t="s">
        <v>40</v>
      </c>
    </row>
    <row r="839" spans="1:9" x14ac:dyDescent="0.3">
      <c r="A839" s="12">
        <v>45861</v>
      </c>
      <c r="B839" s="13" t="s">
        <v>20</v>
      </c>
      <c r="C839" s="13" t="s">
        <v>10</v>
      </c>
      <c r="D839" s="13" t="s">
        <v>11</v>
      </c>
      <c r="E839" s="13">
        <v>10</v>
      </c>
      <c r="F839" s="14">
        <v>12053</v>
      </c>
      <c r="G839" s="14">
        <v>120530</v>
      </c>
      <c r="H839" s="13" t="s">
        <v>39</v>
      </c>
      <c r="I839" s="13" t="s">
        <v>40</v>
      </c>
    </row>
    <row r="840" spans="1:9" x14ac:dyDescent="0.3">
      <c r="A840" s="12">
        <v>45861</v>
      </c>
      <c r="B840" s="13" t="s">
        <v>17</v>
      </c>
      <c r="C840" s="13" t="s">
        <v>21</v>
      </c>
      <c r="D840" s="13" t="s">
        <v>18</v>
      </c>
      <c r="E840" s="13">
        <v>6</v>
      </c>
      <c r="F840" s="14">
        <v>3530</v>
      </c>
      <c r="G840" s="14">
        <v>21180</v>
      </c>
      <c r="H840" s="13" t="s">
        <v>39</v>
      </c>
      <c r="I840" s="13" t="s">
        <v>40</v>
      </c>
    </row>
    <row r="841" spans="1:9" x14ac:dyDescent="0.3">
      <c r="A841" s="12">
        <v>45861</v>
      </c>
      <c r="B841" s="13" t="s">
        <v>9</v>
      </c>
      <c r="C841" s="13" t="s">
        <v>22</v>
      </c>
      <c r="D841" s="13" t="s">
        <v>11</v>
      </c>
      <c r="E841" s="13">
        <v>7</v>
      </c>
      <c r="F841" s="14">
        <v>8378</v>
      </c>
      <c r="G841" s="14">
        <v>58646</v>
      </c>
      <c r="H841" s="13" t="s">
        <v>39</v>
      </c>
      <c r="I841" s="13" t="s">
        <v>40</v>
      </c>
    </row>
    <row r="842" spans="1:9" x14ac:dyDescent="0.3">
      <c r="A842" s="12">
        <v>45861</v>
      </c>
      <c r="B842" s="13" t="s">
        <v>17</v>
      </c>
      <c r="C842" s="13" t="s">
        <v>22</v>
      </c>
      <c r="D842" s="13" t="s">
        <v>18</v>
      </c>
      <c r="E842" s="13">
        <v>6</v>
      </c>
      <c r="F842" s="14">
        <v>8253</v>
      </c>
      <c r="G842" s="14">
        <v>49518</v>
      </c>
      <c r="H842" s="13" t="s">
        <v>39</v>
      </c>
      <c r="I842" s="13" t="s">
        <v>40</v>
      </c>
    </row>
    <row r="843" spans="1:9" x14ac:dyDescent="0.3">
      <c r="A843" s="12">
        <v>45861</v>
      </c>
      <c r="B843" s="13" t="s">
        <v>20</v>
      </c>
      <c r="C843" s="13" t="s">
        <v>21</v>
      </c>
      <c r="D843" s="13" t="s">
        <v>24</v>
      </c>
      <c r="E843" s="13">
        <v>10</v>
      </c>
      <c r="F843" s="14">
        <v>3327</v>
      </c>
      <c r="G843" s="14">
        <v>33270</v>
      </c>
      <c r="H843" s="13" t="s">
        <v>39</v>
      </c>
      <c r="I843" s="13" t="s">
        <v>40</v>
      </c>
    </row>
    <row r="844" spans="1:9" x14ac:dyDescent="0.3">
      <c r="A844" s="12">
        <v>45861</v>
      </c>
      <c r="B844" s="13" t="s">
        <v>17</v>
      </c>
      <c r="C844" s="13" t="s">
        <v>21</v>
      </c>
      <c r="D844" s="13" t="s">
        <v>27</v>
      </c>
      <c r="E844" s="13">
        <v>4</v>
      </c>
      <c r="F844" s="14">
        <v>3351</v>
      </c>
      <c r="G844" s="14">
        <v>13404</v>
      </c>
      <c r="H844" s="13" t="s">
        <v>39</v>
      </c>
      <c r="I844" s="13" t="s">
        <v>40</v>
      </c>
    </row>
    <row r="845" spans="1:9" x14ac:dyDescent="0.3">
      <c r="A845" s="12">
        <v>45862</v>
      </c>
      <c r="B845" s="13" t="s">
        <v>17</v>
      </c>
      <c r="C845" s="13" t="s">
        <v>15</v>
      </c>
      <c r="D845" s="13" t="s">
        <v>27</v>
      </c>
      <c r="E845" s="13">
        <v>3</v>
      </c>
      <c r="F845" s="14">
        <v>21696</v>
      </c>
      <c r="G845" s="14">
        <v>65088</v>
      </c>
      <c r="H845" s="13" t="s">
        <v>39</v>
      </c>
      <c r="I845" s="13" t="s">
        <v>40</v>
      </c>
    </row>
    <row r="846" spans="1:9" x14ac:dyDescent="0.3">
      <c r="A846" s="12">
        <v>45862</v>
      </c>
      <c r="B846" s="13" t="s">
        <v>9</v>
      </c>
      <c r="C846" s="13" t="s">
        <v>10</v>
      </c>
      <c r="D846" s="13" t="s">
        <v>16</v>
      </c>
      <c r="E846" s="13">
        <v>7</v>
      </c>
      <c r="F846" s="14">
        <v>12373</v>
      </c>
      <c r="G846" s="14">
        <v>86611</v>
      </c>
      <c r="H846" s="13" t="s">
        <v>39</v>
      </c>
      <c r="I846" s="13" t="s">
        <v>40</v>
      </c>
    </row>
    <row r="847" spans="1:9" x14ac:dyDescent="0.3">
      <c r="A847" s="12">
        <v>45862</v>
      </c>
      <c r="B847" s="13" t="s">
        <v>9</v>
      </c>
      <c r="C847" s="13" t="s">
        <v>21</v>
      </c>
      <c r="D847" s="13" t="s">
        <v>24</v>
      </c>
      <c r="E847" s="13">
        <v>8</v>
      </c>
      <c r="F847" s="14">
        <v>3398</v>
      </c>
      <c r="G847" s="14">
        <v>27184</v>
      </c>
      <c r="H847" s="13" t="s">
        <v>39</v>
      </c>
      <c r="I847" s="13" t="s">
        <v>40</v>
      </c>
    </row>
    <row r="848" spans="1:9" x14ac:dyDescent="0.3">
      <c r="A848" s="12">
        <v>45862</v>
      </c>
      <c r="B848" s="13" t="s">
        <v>17</v>
      </c>
      <c r="C848" s="13" t="s">
        <v>10</v>
      </c>
      <c r="D848" s="13" t="s">
        <v>18</v>
      </c>
      <c r="E848" s="13">
        <v>1</v>
      </c>
      <c r="F848" s="14">
        <v>11692</v>
      </c>
      <c r="G848" s="14">
        <v>11692</v>
      </c>
      <c r="H848" s="13" t="s">
        <v>39</v>
      </c>
      <c r="I848" s="13" t="s">
        <v>40</v>
      </c>
    </row>
    <row r="849" spans="1:9" x14ac:dyDescent="0.3">
      <c r="A849" s="12">
        <v>45863</v>
      </c>
      <c r="B849" s="13" t="s">
        <v>17</v>
      </c>
      <c r="C849" s="13" t="s">
        <v>15</v>
      </c>
      <c r="D849" s="13" t="s">
        <v>28</v>
      </c>
      <c r="E849" s="13">
        <v>10</v>
      </c>
      <c r="F849" s="14">
        <v>21223</v>
      </c>
      <c r="G849" s="14">
        <v>212230</v>
      </c>
      <c r="H849" s="13" t="s">
        <v>39</v>
      </c>
      <c r="I849" s="13" t="s">
        <v>40</v>
      </c>
    </row>
    <row r="850" spans="1:9" x14ac:dyDescent="0.3">
      <c r="A850" s="12">
        <v>45863</v>
      </c>
      <c r="B850" s="13" t="s">
        <v>17</v>
      </c>
      <c r="C850" s="13" t="s">
        <v>19</v>
      </c>
      <c r="D850" s="13" t="s">
        <v>27</v>
      </c>
      <c r="E850" s="13">
        <v>9</v>
      </c>
      <c r="F850" s="14">
        <v>18824</v>
      </c>
      <c r="G850" s="14">
        <v>169416</v>
      </c>
      <c r="H850" s="13" t="s">
        <v>39</v>
      </c>
      <c r="I850" s="13" t="s">
        <v>40</v>
      </c>
    </row>
    <row r="851" spans="1:9" x14ac:dyDescent="0.3">
      <c r="A851" s="12">
        <v>45863</v>
      </c>
      <c r="B851" s="13" t="s">
        <v>9</v>
      </c>
      <c r="C851" s="13" t="s">
        <v>10</v>
      </c>
      <c r="D851" s="13" t="s">
        <v>11</v>
      </c>
      <c r="E851" s="13">
        <v>2</v>
      </c>
      <c r="F851" s="14">
        <v>11659</v>
      </c>
      <c r="G851" s="14">
        <v>23318</v>
      </c>
      <c r="H851" s="13" t="s">
        <v>39</v>
      </c>
      <c r="I851" s="13" t="s">
        <v>40</v>
      </c>
    </row>
    <row r="852" spans="1:9" x14ac:dyDescent="0.3">
      <c r="A852" s="12">
        <v>45864</v>
      </c>
      <c r="B852" s="13" t="s">
        <v>23</v>
      </c>
      <c r="C852" s="13" t="s">
        <v>21</v>
      </c>
      <c r="D852" s="13" t="s">
        <v>27</v>
      </c>
      <c r="E852" s="13">
        <v>4</v>
      </c>
      <c r="F852" s="14">
        <v>3615</v>
      </c>
      <c r="G852" s="14">
        <v>14460</v>
      </c>
      <c r="H852" s="13" t="s">
        <v>39</v>
      </c>
      <c r="I852" s="13" t="s">
        <v>40</v>
      </c>
    </row>
    <row r="853" spans="1:9" x14ac:dyDescent="0.3">
      <c r="A853" s="12">
        <v>45864</v>
      </c>
      <c r="B853" s="13" t="s">
        <v>17</v>
      </c>
      <c r="C853" s="13" t="s">
        <v>22</v>
      </c>
      <c r="D853" s="13" t="s">
        <v>27</v>
      </c>
      <c r="E853" s="13">
        <v>10</v>
      </c>
      <c r="F853" s="14">
        <v>8127</v>
      </c>
      <c r="G853" s="14">
        <v>81270</v>
      </c>
      <c r="H853" s="13" t="s">
        <v>39</v>
      </c>
      <c r="I853" s="13" t="s">
        <v>40</v>
      </c>
    </row>
    <row r="854" spans="1:9" x14ac:dyDescent="0.3">
      <c r="A854" s="12">
        <v>45864</v>
      </c>
      <c r="B854" s="13" t="s">
        <v>20</v>
      </c>
      <c r="C854" s="13" t="s">
        <v>15</v>
      </c>
      <c r="D854" s="13" t="s">
        <v>26</v>
      </c>
      <c r="E854" s="13">
        <v>8</v>
      </c>
      <c r="F854" s="14">
        <v>22212</v>
      </c>
      <c r="G854" s="14">
        <v>177696</v>
      </c>
      <c r="H854" s="13" t="s">
        <v>39</v>
      </c>
      <c r="I854" s="13" t="s">
        <v>40</v>
      </c>
    </row>
    <row r="855" spans="1:9" x14ac:dyDescent="0.3">
      <c r="A855" s="12">
        <v>45864</v>
      </c>
      <c r="B855" s="13" t="s">
        <v>9</v>
      </c>
      <c r="C855" s="13" t="s">
        <v>15</v>
      </c>
      <c r="D855" s="13" t="s">
        <v>18</v>
      </c>
      <c r="E855" s="13">
        <v>7</v>
      </c>
      <c r="F855" s="14">
        <v>21190</v>
      </c>
      <c r="G855" s="14">
        <v>148330</v>
      </c>
      <c r="H855" s="13" t="s">
        <v>39</v>
      </c>
      <c r="I855" s="13" t="s">
        <v>40</v>
      </c>
    </row>
    <row r="856" spans="1:9" x14ac:dyDescent="0.3">
      <c r="A856" s="12">
        <v>45864</v>
      </c>
      <c r="B856" s="13" t="s">
        <v>9</v>
      </c>
      <c r="C856" s="13" t="s">
        <v>15</v>
      </c>
      <c r="D856" s="13" t="s">
        <v>18</v>
      </c>
      <c r="E856" s="13">
        <v>3</v>
      </c>
      <c r="F856" s="14">
        <v>22232</v>
      </c>
      <c r="G856" s="14">
        <v>66696</v>
      </c>
      <c r="H856" s="13" t="s">
        <v>39</v>
      </c>
      <c r="I856" s="13" t="s">
        <v>40</v>
      </c>
    </row>
    <row r="857" spans="1:9" x14ac:dyDescent="0.3">
      <c r="A857" s="12">
        <v>45864</v>
      </c>
      <c r="B857" s="13" t="s">
        <v>17</v>
      </c>
      <c r="C857" s="13" t="s">
        <v>21</v>
      </c>
      <c r="D857" s="13" t="s">
        <v>28</v>
      </c>
      <c r="E857" s="13">
        <v>9</v>
      </c>
      <c r="F857" s="14">
        <v>3501</v>
      </c>
      <c r="G857" s="14">
        <v>31509</v>
      </c>
      <c r="H857" s="13" t="s">
        <v>39</v>
      </c>
      <c r="I857" s="13" t="s">
        <v>40</v>
      </c>
    </row>
    <row r="858" spans="1:9" x14ac:dyDescent="0.3">
      <c r="A858" s="12">
        <v>45865</v>
      </c>
      <c r="B858" s="13" t="s">
        <v>9</v>
      </c>
      <c r="C858" s="13" t="s">
        <v>21</v>
      </c>
      <c r="D858" s="13" t="s">
        <v>27</v>
      </c>
      <c r="E858" s="13">
        <v>10</v>
      </c>
      <c r="F858" s="14">
        <v>3513</v>
      </c>
      <c r="G858" s="14">
        <v>35130</v>
      </c>
      <c r="H858" s="13" t="s">
        <v>39</v>
      </c>
      <c r="I858" s="13" t="s">
        <v>40</v>
      </c>
    </row>
    <row r="859" spans="1:9" x14ac:dyDescent="0.3">
      <c r="A859" s="12">
        <v>45865</v>
      </c>
      <c r="B859" s="13" t="s">
        <v>9</v>
      </c>
      <c r="C859" s="13" t="s">
        <v>10</v>
      </c>
      <c r="D859" s="13" t="s">
        <v>18</v>
      </c>
      <c r="E859" s="13">
        <v>9</v>
      </c>
      <c r="F859" s="14">
        <v>11904</v>
      </c>
      <c r="G859" s="14">
        <v>107136</v>
      </c>
      <c r="H859" s="13" t="s">
        <v>39</v>
      </c>
      <c r="I859" s="13" t="s">
        <v>40</v>
      </c>
    </row>
    <row r="860" spans="1:9" x14ac:dyDescent="0.3">
      <c r="A860" s="12">
        <v>45866</v>
      </c>
      <c r="B860" s="13" t="s">
        <v>23</v>
      </c>
      <c r="C860" s="13" t="s">
        <v>15</v>
      </c>
      <c r="D860" s="13" t="s">
        <v>24</v>
      </c>
      <c r="E860" s="13">
        <v>7</v>
      </c>
      <c r="F860" s="14">
        <v>21671</v>
      </c>
      <c r="G860" s="14">
        <v>151697</v>
      </c>
      <c r="H860" s="13" t="s">
        <v>39</v>
      </c>
      <c r="I860" s="13" t="s">
        <v>40</v>
      </c>
    </row>
    <row r="861" spans="1:9" x14ac:dyDescent="0.3">
      <c r="A861" s="12">
        <v>45866</v>
      </c>
      <c r="B861" s="13" t="s">
        <v>9</v>
      </c>
      <c r="C861" s="13" t="s">
        <v>21</v>
      </c>
      <c r="D861" s="13" t="s">
        <v>27</v>
      </c>
      <c r="E861" s="13">
        <v>5</v>
      </c>
      <c r="F861" s="14">
        <v>3491</v>
      </c>
      <c r="G861" s="14">
        <v>17455</v>
      </c>
      <c r="H861" s="13" t="s">
        <v>39</v>
      </c>
      <c r="I861" s="13" t="s">
        <v>40</v>
      </c>
    </row>
    <row r="862" spans="1:9" x14ac:dyDescent="0.3">
      <c r="A862" s="12">
        <v>45867</v>
      </c>
      <c r="B862" s="13" t="s">
        <v>9</v>
      </c>
      <c r="C862" s="13" t="s">
        <v>19</v>
      </c>
      <c r="D862" s="13" t="s">
        <v>18</v>
      </c>
      <c r="E862" s="13">
        <v>5</v>
      </c>
      <c r="F862" s="14">
        <v>17440</v>
      </c>
      <c r="G862" s="14">
        <v>87200</v>
      </c>
      <c r="H862" s="13" t="s">
        <v>39</v>
      </c>
      <c r="I862" s="13" t="s">
        <v>40</v>
      </c>
    </row>
    <row r="863" spans="1:9" x14ac:dyDescent="0.3">
      <c r="A863" s="12">
        <v>45867</v>
      </c>
      <c r="B863" s="13" t="s">
        <v>9</v>
      </c>
      <c r="C863" s="13" t="s">
        <v>22</v>
      </c>
      <c r="D863" s="13" t="s">
        <v>14</v>
      </c>
      <c r="E863" s="13">
        <v>9</v>
      </c>
      <c r="F863" s="14">
        <v>7605</v>
      </c>
      <c r="G863" s="14">
        <v>68445</v>
      </c>
      <c r="H863" s="13" t="s">
        <v>39</v>
      </c>
      <c r="I863" s="13" t="s">
        <v>40</v>
      </c>
    </row>
    <row r="864" spans="1:9" x14ac:dyDescent="0.3">
      <c r="A864" s="12">
        <v>45867</v>
      </c>
      <c r="B864" s="13" t="s">
        <v>17</v>
      </c>
      <c r="C864" s="13" t="s">
        <v>10</v>
      </c>
      <c r="D864" s="13" t="s">
        <v>26</v>
      </c>
      <c r="E864" s="13">
        <v>7</v>
      </c>
      <c r="F864" s="14">
        <v>11834</v>
      </c>
      <c r="G864" s="14">
        <v>82838</v>
      </c>
      <c r="H864" s="13" t="s">
        <v>39</v>
      </c>
      <c r="I864" s="13" t="s">
        <v>40</v>
      </c>
    </row>
    <row r="865" spans="1:9" x14ac:dyDescent="0.3">
      <c r="A865" s="12">
        <v>45868</v>
      </c>
      <c r="B865" s="13" t="s">
        <v>23</v>
      </c>
      <c r="C865" s="13" t="s">
        <v>10</v>
      </c>
      <c r="D865" s="13" t="s">
        <v>11</v>
      </c>
      <c r="E865" s="13">
        <v>5</v>
      </c>
      <c r="F865" s="14">
        <v>12425</v>
      </c>
      <c r="G865" s="14">
        <v>62125</v>
      </c>
      <c r="H865" s="13" t="s">
        <v>39</v>
      </c>
      <c r="I865" s="13" t="s">
        <v>40</v>
      </c>
    </row>
    <row r="866" spans="1:9" x14ac:dyDescent="0.3">
      <c r="A866" s="12">
        <v>45868</v>
      </c>
      <c r="B866" s="13" t="s">
        <v>23</v>
      </c>
      <c r="C866" s="13" t="s">
        <v>22</v>
      </c>
      <c r="D866" s="13" t="s">
        <v>26</v>
      </c>
      <c r="E866" s="13">
        <v>10</v>
      </c>
      <c r="F866" s="14">
        <v>7820</v>
      </c>
      <c r="G866" s="14">
        <v>78200</v>
      </c>
      <c r="H866" s="13" t="s">
        <v>39</v>
      </c>
      <c r="I866" s="13" t="s">
        <v>40</v>
      </c>
    </row>
    <row r="867" spans="1:9" x14ac:dyDescent="0.3">
      <c r="A867" s="12">
        <v>45868</v>
      </c>
      <c r="B867" s="13" t="s">
        <v>23</v>
      </c>
      <c r="C867" s="13" t="s">
        <v>15</v>
      </c>
      <c r="D867" s="13" t="s">
        <v>18</v>
      </c>
      <c r="E867" s="13">
        <v>9</v>
      </c>
      <c r="F867" s="14">
        <v>22624</v>
      </c>
      <c r="G867" s="14">
        <v>203616</v>
      </c>
      <c r="H867" s="13" t="s">
        <v>39</v>
      </c>
      <c r="I867" s="13" t="s">
        <v>40</v>
      </c>
    </row>
    <row r="868" spans="1:9" x14ac:dyDescent="0.3">
      <c r="A868" s="12">
        <v>45869</v>
      </c>
      <c r="B868" s="13" t="s">
        <v>17</v>
      </c>
      <c r="C868" s="13" t="s">
        <v>19</v>
      </c>
      <c r="D868" s="13" t="s">
        <v>24</v>
      </c>
      <c r="E868" s="13">
        <v>5</v>
      </c>
      <c r="F868" s="14">
        <v>18879</v>
      </c>
      <c r="G868" s="14">
        <v>94395</v>
      </c>
      <c r="H868" s="13" t="s">
        <v>39</v>
      </c>
      <c r="I868" s="13" t="s">
        <v>40</v>
      </c>
    </row>
    <row r="869" spans="1:9" x14ac:dyDescent="0.3">
      <c r="A869" s="12">
        <v>45869</v>
      </c>
      <c r="B869" s="13" t="s">
        <v>20</v>
      </c>
      <c r="C869" s="13" t="s">
        <v>10</v>
      </c>
      <c r="D869" s="13" t="s">
        <v>18</v>
      </c>
      <c r="E869" s="13">
        <v>3</v>
      </c>
      <c r="F869" s="14">
        <v>12425</v>
      </c>
      <c r="G869" s="14">
        <v>37275</v>
      </c>
      <c r="H869" s="13" t="s">
        <v>39</v>
      </c>
      <c r="I869" s="13" t="s">
        <v>40</v>
      </c>
    </row>
    <row r="870" spans="1:9" x14ac:dyDescent="0.3">
      <c r="A870" s="12">
        <v>45869</v>
      </c>
      <c r="B870" s="13" t="s">
        <v>9</v>
      </c>
      <c r="C870" s="13" t="s">
        <v>10</v>
      </c>
      <c r="D870" s="13" t="s">
        <v>16</v>
      </c>
      <c r="E870" s="13">
        <v>8</v>
      </c>
      <c r="F870" s="14">
        <v>12339</v>
      </c>
      <c r="G870" s="14">
        <v>98712</v>
      </c>
      <c r="H870" s="13" t="s">
        <v>39</v>
      </c>
      <c r="I870" s="13" t="s">
        <v>40</v>
      </c>
    </row>
    <row r="871" spans="1:9" x14ac:dyDescent="0.3">
      <c r="A871" s="12">
        <v>45869</v>
      </c>
      <c r="B871" s="13" t="s">
        <v>17</v>
      </c>
      <c r="C871" s="13" t="s">
        <v>25</v>
      </c>
      <c r="D871" s="13" t="s">
        <v>16</v>
      </c>
      <c r="E871" s="13">
        <v>9</v>
      </c>
      <c r="F871" s="14">
        <v>54453</v>
      </c>
      <c r="G871" s="14">
        <v>490077</v>
      </c>
      <c r="H871" s="13" t="s">
        <v>39</v>
      </c>
      <c r="I871" s="13" t="s">
        <v>40</v>
      </c>
    </row>
    <row r="872" spans="1:9" x14ac:dyDescent="0.3">
      <c r="A872" s="12">
        <v>45869</v>
      </c>
      <c r="B872" s="13" t="s">
        <v>20</v>
      </c>
      <c r="C872" s="13" t="s">
        <v>22</v>
      </c>
      <c r="D872" s="13" t="s">
        <v>28</v>
      </c>
      <c r="E872" s="13">
        <v>3</v>
      </c>
      <c r="F872" s="14">
        <v>7911</v>
      </c>
      <c r="G872" s="14">
        <v>23733</v>
      </c>
      <c r="H872" s="13" t="s">
        <v>39</v>
      </c>
      <c r="I872" s="13" t="s">
        <v>40</v>
      </c>
    </row>
    <row r="873" spans="1:9" x14ac:dyDescent="0.3">
      <c r="A873" s="12">
        <v>45870</v>
      </c>
      <c r="B873" s="13" t="s">
        <v>9</v>
      </c>
      <c r="C873" s="13" t="s">
        <v>15</v>
      </c>
      <c r="D873" s="13" t="s">
        <v>24</v>
      </c>
      <c r="E873" s="13">
        <v>10</v>
      </c>
      <c r="F873" s="14">
        <v>21857</v>
      </c>
      <c r="G873" s="14">
        <v>218570</v>
      </c>
      <c r="H873" s="13" t="s">
        <v>41</v>
      </c>
      <c r="I873" s="13" t="s">
        <v>42</v>
      </c>
    </row>
    <row r="874" spans="1:9" x14ac:dyDescent="0.3">
      <c r="A874" s="12">
        <v>45870</v>
      </c>
      <c r="B874" s="13" t="s">
        <v>9</v>
      </c>
      <c r="C874" s="13" t="s">
        <v>19</v>
      </c>
      <c r="D874" s="13" t="s">
        <v>16</v>
      </c>
      <c r="E874" s="13">
        <v>6</v>
      </c>
      <c r="F874" s="14">
        <v>17244</v>
      </c>
      <c r="G874" s="14">
        <v>103464</v>
      </c>
      <c r="H874" s="13" t="s">
        <v>41</v>
      </c>
      <c r="I874" s="13" t="s">
        <v>42</v>
      </c>
    </row>
    <row r="875" spans="1:9" x14ac:dyDescent="0.3">
      <c r="A875" s="12">
        <v>45871</v>
      </c>
      <c r="B875" s="13" t="s">
        <v>23</v>
      </c>
      <c r="C875" s="13" t="s">
        <v>21</v>
      </c>
      <c r="D875" s="13" t="s">
        <v>11</v>
      </c>
      <c r="E875" s="13">
        <v>10</v>
      </c>
      <c r="F875" s="14">
        <v>3345</v>
      </c>
      <c r="G875" s="14">
        <v>33450</v>
      </c>
      <c r="H875" s="13" t="s">
        <v>41</v>
      </c>
      <c r="I875" s="13" t="s">
        <v>42</v>
      </c>
    </row>
    <row r="876" spans="1:9" x14ac:dyDescent="0.3">
      <c r="A876" s="12">
        <v>45871</v>
      </c>
      <c r="B876" s="13" t="s">
        <v>17</v>
      </c>
      <c r="C876" s="13" t="s">
        <v>10</v>
      </c>
      <c r="D876" s="13" t="s">
        <v>24</v>
      </c>
      <c r="E876" s="13">
        <v>8</v>
      </c>
      <c r="F876" s="14">
        <v>11412</v>
      </c>
      <c r="G876" s="14">
        <v>91296</v>
      </c>
      <c r="H876" s="13" t="s">
        <v>41</v>
      </c>
      <c r="I876" s="13" t="s">
        <v>42</v>
      </c>
    </row>
    <row r="877" spans="1:9" x14ac:dyDescent="0.3">
      <c r="A877" s="12">
        <v>45872</v>
      </c>
      <c r="B877" s="13" t="s">
        <v>20</v>
      </c>
      <c r="C877" s="13" t="s">
        <v>15</v>
      </c>
      <c r="D877" s="13" t="s">
        <v>28</v>
      </c>
      <c r="E877" s="13">
        <v>10</v>
      </c>
      <c r="F877" s="14">
        <v>22023</v>
      </c>
      <c r="G877" s="14">
        <v>220230</v>
      </c>
      <c r="H877" s="13" t="s">
        <v>41</v>
      </c>
      <c r="I877" s="13" t="s">
        <v>42</v>
      </c>
    </row>
    <row r="878" spans="1:9" x14ac:dyDescent="0.3">
      <c r="A878" s="12">
        <v>45872</v>
      </c>
      <c r="B878" s="13" t="s">
        <v>17</v>
      </c>
      <c r="C878" s="13" t="s">
        <v>22</v>
      </c>
      <c r="D878" s="13" t="s">
        <v>27</v>
      </c>
      <c r="E878" s="13">
        <v>1</v>
      </c>
      <c r="F878" s="14">
        <v>7887</v>
      </c>
      <c r="G878" s="14">
        <v>7887</v>
      </c>
      <c r="H878" s="13" t="s">
        <v>41</v>
      </c>
      <c r="I878" s="13" t="s">
        <v>42</v>
      </c>
    </row>
    <row r="879" spans="1:9" x14ac:dyDescent="0.3">
      <c r="A879" s="12">
        <v>45872</v>
      </c>
      <c r="B879" s="13" t="s">
        <v>9</v>
      </c>
      <c r="C879" s="13" t="s">
        <v>15</v>
      </c>
      <c r="D879" s="13" t="s">
        <v>14</v>
      </c>
      <c r="E879" s="13">
        <v>5</v>
      </c>
      <c r="F879" s="14">
        <v>22615</v>
      </c>
      <c r="G879" s="14">
        <v>113075</v>
      </c>
      <c r="H879" s="13" t="s">
        <v>41</v>
      </c>
      <c r="I879" s="13" t="s">
        <v>42</v>
      </c>
    </row>
    <row r="880" spans="1:9" x14ac:dyDescent="0.3">
      <c r="A880" s="12">
        <v>45872</v>
      </c>
      <c r="B880" s="13" t="s">
        <v>20</v>
      </c>
      <c r="C880" s="13" t="s">
        <v>10</v>
      </c>
      <c r="D880" s="13" t="s">
        <v>18</v>
      </c>
      <c r="E880" s="13">
        <v>7</v>
      </c>
      <c r="F880" s="14">
        <v>12103</v>
      </c>
      <c r="G880" s="14">
        <v>84721</v>
      </c>
      <c r="H880" s="13" t="s">
        <v>41</v>
      </c>
      <c r="I880" s="13" t="s">
        <v>42</v>
      </c>
    </row>
    <row r="881" spans="1:9" x14ac:dyDescent="0.3">
      <c r="A881" s="12">
        <v>45872</v>
      </c>
      <c r="B881" s="13" t="s">
        <v>9</v>
      </c>
      <c r="C881" s="13" t="s">
        <v>10</v>
      </c>
      <c r="D881" s="13" t="s">
        <v>14</v>
      </c>
      <c r="E881" s="13">
        <v>2</v>
      </c>
      <c r="F881" s="14">
        <v>12059</v>
      </c>
      <c r="G881" s="14">
        <v>24118</v>
      </c>
      <c r="H881" s="13" t="s">
        <v>41</v>
      </c>
      <c r="I881" s="13" t="s">
        <v>42</v>
      </c>
    </row>
    <row r="882" spans="1:9" x14ac:dyDescent="0.3">
      <c r="A882" s="12">
        <v>45872</v>
      </c>
      <c r="B882" s="13" t="s">
        <v>20</v>
      </c>
      <c r="C882" s="13" t="s">
        <v>19</v>
      </c>
      <c r="D882" s="13" t="s">
        <v>11</v>
      </c>
      <c r="E882" s="13">
        <v>4</v>
      </c>
      <c r="F882" s="14">
        <v>18191</v>
      </c>
      <c r="G882" s="14">
        <v>72764</v>
      </c>
      <c r="H882" s="13" t="s">
        <v>41</v>
      </c>
      <c r="I882" s="13" t="s">
        <v>42</v>
      </c>
    </row>
    <row r="883" spans="1:9" x14ac:dyDescent="0.3">
      <c r="A883" s="12">
        <v>45873</v>
      </c>
      <c r="B883" s="13" t="s">
        <v>23</v>
      </c>
      <c r="C883" s="13" t="s">
        <v>21</v>
      </c>
      <c r="D883" s="13" t="s">
        <v>28</v>
      </c>
      <c r="E883" s="13">
        <v>5</v>
      </c>
      <c r="F883" s="14">
        <v>3386</v>
      </c>
      <c r="G883" s="14">
        <v>16930</v>
      </c>
      <c r="H883" s="13" t="s">
        <v>41</v>
      </c>
      <c r="I883" s="13" t="s">
        <v>42</v>
      </c>
    </row>
    <row r="884" spans="1:9" x14ac:dyDescent="0.3">
      <c r="A884" s="12">
        <v>45873</v>
      </c>
      <c r="B884" s="13" t="s">
        <v>9</v>
      </c>
      <c r="C884" s="13" t="s">
        <v>22</v>
      </c>
      <c r="D884" s="13" t="s">
        <v>14</v>
      </c>
      <c r="E884" s="13">
        <v>9</v>
      </c>
      <c r="F884" s="14">
        <v>7835</v>
      </c>
      <c r="G884" s="14">
        <v>70515</v>
      </c>
      <c r="H884" s="13" t="s">
        <v>41</v>
      </c>
      <c r="I884" s="13" t="s">
        <v>42</v>
      </c>
    </row>
    <row r="885" spans="1:9" x14ac:dyDescent="0.3">
      <c r="A885" s="12">
        <v>45873</v>
      </c>
      <c r="B885" s="13" t="s">
        <v>9</v>
      </c>
      <c r="C885" s="13" t="s">
        <v>22</v>
      </c>
      <c r="D885" s="13" t="s">
        <v>11</v>
      </c>
      <c r="E885" s="13">
        <v>9</v>
      </c>
      <c r="F885" s="14">
        <v>8250</v>
      </c>
      <c r="G885" s="14">
        <v>74250</v>
      </c>
      <c r="H885" s="13" t="s">
        <v>41</v>
      </c>
      <c r="I885" s="13" t="s">
        <v>42</v>
      </c>
    </row>
    <row r="886" spans="1:9" x14ac:dyDescent="0.3">
      <c r="A886" s="12">
        <v>45874</v>
      </c>
      <c r="B886" s="13" t="s">
        <v>20</v>
      </c>
      <c r="C886" s="13" t="s">
        <v>10</v>
      </c>
      <c r="D886" s="13" t="s">
        <v>24</v>
      </c>
      <c r="E886" s="13">
        <v>7</v>
      </c>
      <c r="F886" s="14">
        <v>12075</v>
      </c>
      <c r="G886" s="14">
        <v>84525</v>
      </c>
      <c r="H886" s="13" t="s">
        <v>41</v>
      </c>
      <c r="I886" s="13" t="s">
        <v>42</v>
      </c>
    </row>
    <row r="887" spans="1:9" x14ac:dyDescent="0.3">
      <c r="A887" s="12">
        <v>45874</v>
      </c>
      <c r="B887" s="13" t="s">
        <v>17</v>
      </c>
      <c r="C887" s="13" t="s">
        <v>19</v>
      </c>
      <c r="D887" s="13" t="s">
        <v>24</v>
      </c>
      <c r="E887" s="13">
        <v>8</v>
      </c>
      <c r="F887" s="14">
        <v>18713</v>
      </c>
      <c r="G887" s="14">
        <v>149704</v>
      </c>
      <c r="H887" s="13" t="s">
        <v>41</v>
      </c>
      <c r="I887" s="13" t="s">
        <v>42</v>
      </c>
    </row>
    <row r="888" spans="1:9" x14ac:dyDescent="0.3">
      <c r="A888" s="12">
        <v>45874</v>
      </c>
      <c r="B888" s="13" t="s">
        <v>9</v>
      </c>
      <c r="C888" s="13" t="s">
        <v>21</v>
      </c>
      <c r="D888" s="13" t="s">
        <v>14</v>
      </c>
      <c r="E888" s="13">
        <v>5</v>
      </c>
      <c r="F888" s="14">
        <v>3348</v>
      </c>
      <c r="G888" s="14">
        <v>16740</v>
      </c>
      <c r="H888" s="13" t="s">
        <v>41</v>
      </c>
      <c r="I888" s="13" t="s">
        <v>42</v>
      </c>
    </row>
    <row r="889" spans="1:9" x14ac:dyDescent="0.3">
      <c r="A889" s="12">
        <v>45874</v>
      </c>
      <c r="B889" s="13" t="s">
        <v>17</v>
      </c>
      <c r="C889" s="13" t="s">
        <v>10</v>
      </c>
      <c r="D889" s="13" t="s">
        <v>16</v>
      </c>
      <c r="E889" s="13">
        <v>6</v>
      </c>
      <c r="F889" s="14">
        <v>11894</v>
      </c>
      <c r="G889" s="14">
        <v>71364</v>
      </c>
      <c r="H889" s="13" t="s">
        <v>41</v>
      </c>
      <c r="I889" s="13" t="s">
        <v>42</v>
      </c>
    </row>
    <row r="890" spans="1:9" x14ac:dyDescent="0.3">
      <c r="A890" s="12">
        <v>45874</v>
      </c>
      <c r="B890" s="13" t="s">
        <v>20</v>
      </c>
      <c r="C890" s="13" t="s">
        <v>22</v>
      </c>
      <c r="D890" s="13" t="s">
        <v>28</v>
      </c>
      <c r="E890" s="13">
        <v>5</v>
      </c>
      <c r="F890" s="14">
        <v>7798</v>
      </c>
      <c r="G890" s="14">
        <v>38990</v>
      </c>
      <c r="H890" s="13" t="s">
        <v>41</v>
      </c>
      <c r="I890" s="13" t="s">
        <v>42</v>
      </c>
    </row>
    <row r="891" spans="1:9" x14ac:dyDescent="0.3">
      <c r="A891" s="12">
        <v>45874</v>
      </c>
      <c r="B891" s="13" t="s">
        <v>9</v>
      </c>
      <c r="C891" s="13" t="s">
        <v>21</v>
      </c>
      <c r="D891" s="13" t="s">
        <v>26</v>
      </c>
      <c r="E891" s="13">
        <v>2</v>
      </c>
      <c r="F891" s="14">
        <v>3519</v>
      </c>
      <c r="G891" s="14">
        <v>7038</v>
      </c>
      <c r="H891" s="13" t="s">
        <v>41</v>
      </c>
      <c r="I891" s="13" t="s">
        <v>42</v>
      </c>
    </row>
    <row r="892" spans="1:9" x14ac:dyDescent="0.3">
      <c r="A892" s="12">
        <v>45875</v>
      </c>
      <c r="B892" s="13" t="s">
        <v>23</v>
      </c>
      <c r="C892" s="13" t="s">
        <v>19</v>
      </c>
      <c r="D892" s="13" t="s">
        <v>26</v>
      </c>
      <c r="E892" s="13">
        <v>4</v>
      </c>
      <c r="F892" s="14">
        <v>18709</v>
      </c>
      <c r="G892" s="14">
        <v>74836</v>
      </c>
      <c r="H892" s="13" t="s">
        <v>41</v>
      </c>
      <c r="I892" s="13" t="s">
        <v>42</v>
      </c>
    </row>
    <row r="893" spans="1:9" x14ac:dyDescent="0.3">
      <c r="A893" s="12">
        <v>45875</v>
      </c>
      <c r="B893" s="13" t="s">
        <v>20</v>
      </c>
      <c r="C893" s="13" t="s">
        <v>15</v>
      </c>
      <c r="D893" s="13" t="s">
        <v>16</v>
      </c>
      <c r="E893" s="13">
        <v>8</v>
      </c>
      <c r="F893" s="14">
        <v>22521</v>
      </c>
      <c r="G893" s="14">
        <v>180168</v>
      </c>
      <c r="H893" s="13" t="s">
        <v>41</v>
      </c>
      <c r="I893" s="13" t="s">
        <v>42</v>
      </c>
    </row>
    <row r="894" spans="1:9" x14ac:dyDescent="0.3">
      <c r="A894" s="12">
        <v>45875</v>
      </c>
      <c r="B894" s="13" t="s">
        <v>17</v>
      </c>
      <c r="C894" s="13" t="s">
        <v>10</v>
      </c>
      <c r="D894" s="13" t="s">
        <v>16</v>
      </c>
      <c r="E894" s="13">
        <v>5</v>
      </c>
      <c r="F894" s="14">
        <v>11648</v>
      </c>
      <c r="G894" s="14">
        <v>58240</v>
      </c>
      <c r="H894" s="13" t="s">
        <v>41</v>
      </c>
      <c r="I894" s="13" t="s">
        <v>42</v>
      </c>
    </row>
    <row r="895" spans="1:9" x14ac:dyDescent="0.3">
      <c r="A895" s="12">
        <v>45876</v>
      </c>
      <c r="B895" s="13" t="s">
        <v>17</v>
      </c>
      <c r="C895" s="13" t="s">
        <v>22</v>
      </c>
      <c r="D895" s="13" t="s">
        <v>26</v>
      </c>
      <c r="E895" s="13">
        <v>3</v>
      </c>
      <c r="F895" s="14">
        <v>8223</v>
      </c>
      <c r="G895" s="14">
        <v>24669</v>
      </c>
      <c r="H895" s="13" t="s">
        <v>41</v>
      </c>
      <c r="I895" s="13" t="s">
        <v>42</v>
      </c>
    </row>
    <row r="896" spans="1:9" x14ac:dyDescent="0.3">
      <c r="A896" s="12">
        <v>45876</v>
      </c>
      <c r="B896" s="13" t="s">
        <v>9</v>
      </c>
      <c r="C896" s="13" t="s">
        <v>25</v>
      </c>
      <c r="D896" s="13" t="s">
        <v>24</v>
      </c>
      <c r="E896" s="13">
        <v>10</v>
      </c>
      <c r="F896" s="14">
        <v>52286</v>
      </c>
      <c r="G896" s="14">
        <v>522860</v>
      </c>
      <c r="H896" s="13" t="s">
        <v>41</v>
      </c>
      <c r="I896" s="13" t="s">
        <v>42</v>
      </c>
    </row>
    <row r="897" spans="1:9" x14ac:dyDescent="0.3">
      <c r="A897" s="12">
        <v>45876</v>
      </c>
      <c r="B897" s="13" t="s">
        <v>9</v>
      </c>
      <c r="C897" s="13" t="s">
        <v>21</v>
      </c>
      <c r="D897" s="13" t="s">
        <v>26</v>
      </c>
      <c r="E897" s="13">
        <v>10</v>
      </c>
      <c r="F897" s="14">
        <v>3435</v>
      </c>
      <c r="G897" s="14">
        <v>34350</v>
      </c>
      <c r="H897" s="13" t="s">
        <v>41</v>
      </c>
      <c r="I897" s="13" t="s">
        <v>42</v>
      </c>
    </row>
    <row r="898" spans="1:9" x14ac:dyDescent="0.3">
      <c r="A898" s="12">
        <v>45877</v>
      </c>
      <c r="B898" s="13" t="s">
        <v>20</v>
      </c>
      <c r="C898" s="13" t="s">
        <v>21</v>
      </c>
      <c r="D898" s="13" t="s">
        <v>27</v>
      </c>
      <c r="E898" s="13">
        <v>9</v>
      </c>
      <c r="F898" s="14">
        <v>3423</v>
      </c>
      <c r="G898" s="14">
        <v>30807</v>
      </c>
      <c r="H898" s="13" t="s">
        <v>41</v>
      </c>
      <c r="I898" s="13" t="s">
        <v>42</v>
      </c>
    </row>
    <row r="899" spans="1:9" x14ac:dyDescent="0.3">
      <c r="A899" s="12">
        <v>45877</v>
      </c>
      <c r="B899" s="13" t="s">
        <v>17</v>
      </c>
      <c r="C899" s="13" t="s">
        <v>22</v>
      </c>
      <c r="D899" s="13" t="s">
        <v>27</v>
      </c>
      <c r="E899" s="13">
        <v>1</v>
      </c>
      <c r="F899" s="14">
        <v>8020</v>
      </c>
      <c r="G899" s="14">
        <v>8020</v>
      </c>
      <c r="H899" s="13" t="s">
        <v>41</v>
      </c>
      <c r="I899" s="13" t="s">
        <v>42</v>
      </c>
    </row>
    <row r="900" spans="1:9" x14ac:dyDescent="0.3">
      <c r="A900" s="12">
        <v>45877</v>
      </c>
      <c r="B900" s="13" t="s">
        <v>23</v>
      </c>
      <c r="C900" s="13" t="s">
        <v>21</v>
      </c>
      <c r="D900" s="13" t="s">
        <v>28</v>
      </c>
      <c r="E900" s="13">
        <v>9</v>
      </c>
      <c r="F900" s="14">
        <v>3446</v>
      </c>
      <c r="G900" s="14">
        <v>31014</v>
      </c>
      <c r="H900" s="13" t="s">
        <v>41</v>
      </c>
      <c r="I900" s="13" t="s">
        <v>42</v>
      </c>
    </row>
    <row r="901" spans="1:9" x14ac:dyDescent="0.3">
      <c r="A901" s="12">
        <v>45877</v>
      </c>
      <c r="B901" s="13" t="s">
        <v>17</v>
      </c>
      <c r="C901" s="13" t="s">
        <v>21</v>
      </c>
      <c r="D901" s="13" t="s">
        <v>14</v>
      </c>
      <c r="E901" s="13">
        <v>9</v>
      </c>
      <c r="F901" s="14">
        <v>3486</v>
      </c>
      <c r="G901" s="14">
        <v>31374</v>
      </c>
      <c r="H901" s="13" t="s">
        <v>41</v>
      </c>
      <c r="I901" s="13" t="s">
        <v>42</v>
      </c>
    </row>
    <row r="902" spans="1:9" x14ac:dyDescent="0.3">
      <c r="A902" s="12">
        <v>45877</v>
      </c>
      <c r="B902" s="13" t="s">
        <v>9</v>
      </c>
      <c r="C902" s="13" t="s">
        <v>25</v>
      </c>
      <c r="D902" s="13" t="s">
        <v>16</v>
      </c>
      <c r="E902" s="13">
        <v>7</v>
      </c>
      <c r="F902" s="14">
        <v>55445</v>
      </c>
      <c r="G902" s="14">
        <v>388115</v>
      </c>
      <c r="H902" s="13" t="s">
        <v>41</v>
      </c>
      <c r="I902" s="13" t="s">
        <v>42</v>
      </c>
    </row>
    <row r="903" spans="1:9" x14ac:dyDescent="0.3">
      <c r="A903" s="12">
        <v>45877</v>
      </c>
      <c r="B903" s="13" t="s">
        <v>20</v>
      </c>
      <c r="C903" s="13" t="s">
        <v>19</v>
      </c>
      <c r="D903" s="13" t="s">
        <v>11</v>
      </c>
      <c r="E903" s="13">
        <v>3</v>
      </c>
      <c r="F903" s="14">
        <v>18087</v>
      </c>
      <c r="G903" s="14">
        <v>54261</v>
      </c>
      <c r="H903" s="13" t="s">
        <v>41</v>
      </c>
      <c r="I903" s="13" t="s">
        <v>42</v>
      </c>
    </row>
    <row r="904" spans="1:9" x14ac:dyDescent="0.3">
      <c r="A904" s="12">
        <v>45878</v>
      </c>
      <c r="B904" s="13" t="s">
        <v>20</v>
      </c>
      <c r="C904" s="13" t="s">
        <v>21</v>
      </c>
      <c r="D904" s="13" t="s">
        <v>26</v>
      </c>
      <c r="E904" s="13">
        <v>6</v>
      </c>
      <c r="F904" s="14">
        <v>3389</v>
      </c>
      <c r="G904" s="14">
        <v>20334</v>
      </c>
      <c r="H904" s="13" t="s">
        <v>41</v>
      </c>
      <c r="I904" s="13" t="s">
        <v>42</v>
      </c>
    </row>
    <row r="905" spans="1:9" x14ac:dyDescent="0.3">
      <c r="A905" s="12">
        <v>45878</v>
      </c>
      <c r="B905" s="13" t="s">
        <v>23</v>
      </c>
      <c r="C905" s="13" t="s">
        <v>15</v>
      </c>
      <c r="D905" s="13" t="s">
        <v>18</v>
      </c>
      <c r="E905" s="13">
        <v>6</v>
      </c>
      <c r="F905" s="14">
        <v>21703</v>
      </c>
      <c r="G905" s="14">
        <v>130218</v>
      </c>
      <c r="H905" s="13" t="s">
        <v>41</v>
      </c>
      <c r="I905" s="13" t="s">
        <v>42</v>
      </c>
    </row>
    <row r="906" spans="1:9" x14ac:dyDescent="0.3">
      <c r="A906" s="12">
        <v>45878</v>
      </c>
      <c r="B906" s="13" t="s">
        <v>23</v>
      </c>
      <c r="C906" s="13" t="s">
        <v>19</v>
      </c>
      <c r="D906" s="13" t="s">
        <v>24</v>
      </c>
      <c r="E906" s="13">
        <v>3</v>
      </c>
      <c r="F906" s="14">
        <v>18128</v>
      </c>
      <c r="G906" s="14">
        <v>54384</v>
      </c>
      <c r="H906" s="13" t="s">
        <v>41</v>
      </c>
      <c r="I906" s="13" t="s">
        <v>42</v>
      </c>
    </row>
    <row r="907" spans="1:9" x14ac:dyDescent="0.3">
      <c r="A907" s="12">
        <v>45879</v>
      </c>
      <c r="B907" s="13" t="s">
        <v>17</v>
      </c>
      <c r="C907" s="13" t="s">
        <v>25</v>
      </c>
      <c r="D907" s="13" t="s">
        <v>11</v>
      </c>
      <c r="E907" s="13">
        <v>4</v>
      </c>
      <c r="F907" s="14">
        <v>55304</v>
      </c>
      <c r="G907" s="14">
        <v>221216</v>
      </c>
      <c r="H907" s="13" t="s">
        <v>41</v>
      </c>
      <c r="I907" s="13" t="s">
        <v>42</v>
      </c>
    </row>
    <row r="908" spans="1:9" x14ac:dyDescent="0.3">
      <c r="A908" s="12">
        <v>45879</v>
      </c>
      <c r="B908" s="13" t="s">
        <v>23</v>
      </c>
      <c r="C908" s="13" t="s">
        <v>15</v>
      </c>
      <c r="D908" s="13" t="s">
        <v>27</v>
      </c>
      <c r="E908" s="13">
        <v>3</v>
      </c>
      <c r="F908" s="14">
        <v>21940</v>
      </c>
      <c r="G908" s="14">
        <v>65820</v>
      </c>
      <c r="H908" s="13" t="s">
        <v>41</v>
      </c>
      <c r="I908" s="13" t="s">
        <v>42</v>
      </c>
    </row>
    <row r="909" spans="1:9" x14ac:dyDescent="0.3">
      <c r="A909" s="12">
        <v>45879</v>
      </c>
      <c r="B909" s="13" t="s">
        <v>9</v>
      </c>
      <c r="C909" s="13" t="s">
        <v>15</v>
      </c>
      <c r="D909" s="13" t="s">
        <v>18</v>
      </c>
      <c r="E909" s="13">
        <v>8</v>
      </c>
      <c r="F909" s="14">
        <v>21195</v>
      </c>
      <c r="G909" s="14">
        <v>169560</v>
      </c>
      <c r="H909" s="13" t="s">
        <v>41</v>
      </c>
      <c r="I909" s="13" t="s">
        <v>42</v>
      </c>
    </row>
    <row r="910" spans="1:9" x14ac:dyDescent="0.3">
      <c r="A910" s="12">
        <v>45879</v>
      </c>
      <c r="B910" s="13" t="s">
        <v>20</v>
      </c>
      <c r="C910" s="13" t="s">
        <v>21</v>
      </c>
      <c r="D910" s="13" t="s">
        <v>11</v>
      </c>
      <c r="E910" s="13">
        <v>5</v>
      </c>
      <c r="F910" s="14">
        <v>3521</v>
      </c>
      <c r="G910" s="14">
        <v>17605</v>
      </c>
      <c r="H910" s="13" t="s">
        <v>41</v>
      </c>
      <c r="I910" s="13" t="s">
        <v>42</v>
      </c>
    </row>
    <row r="911" spans="1:9" x14ac:dyDescent="0.3">
      <c r="A911" s="12">
        <v>45879</v>
      </c>
      <c r="B911" s="13" t="s">
        <v>9</v>
      </c>
      <c r="C911" s="13" t="s">
        <v>21</v>
      </c>
      <c r="D911" s="13" t="s">
        <v>14</v>
      </c>
      <c r="E911" s="13">
        <v>3</v>
      </c>
      <c r="F911" s="14">
        <v>3346</v>
      </c>
      <c r="G911" s="14">
        <v>10038</v>
      </c>
      <c r="H911" s="13" t="s">
        <v>41</v>
      </c>
      <c r="I911" s="13" t="s">
        <v>42</v>
      </c>
    </row>
    <row r="912" spans="1:9" x14ac:dyDescent="0.3">
      <c r="A912" s="12">
        <v>45879</v>
      </c>
      <c r="B912" s="13" t="s">
        <v>20</v>
      </c>
      <c r="C912" s="13" t="s">
        <v>21</v>
      </c>
      <c r="D912" s="13" t="s">
        <v>14</v>
      </c>
      <c r="E912" s="13">
        <v>8</v>
      </c>
      <c r="F912" s="14">
        <v>3585</v>
      </c>
      <c r="G912" s="14">
        <v>28680</v>
      </c>
      <c r="H912" s="13" t="s">
        <v>41</v>
      </c>
      <c r="I912" s="13" t="s">
        <v>42</v>
      </c>
    </row>
    <row r="913" spans="1:9" x14ac:dyDescent="0.3">
      <c r="A913" s="12">
        <v>45880</v>
      </c>
      <c r="B913" s="13" t="s">
        <v>20</v>
      </c>
      <c r="C913" s="13" t="s">
        <v>19</v>
      </c>
      <c r="D913" s="13" t="s">
        <v>11</v>
      </c>
      <c r="E913" s="13">
        <v>6</v>
      </c>
      <c r="F913" s="14">
        <v>17135</v>
      </c>
      <c r="G913" s="14">
        <v>102810</v>
      </c>
      <c r="H913" s="13" t="s">
        <v>41</v>
      </c>
      <c r="I913" s="13" t="s">
        <v>42</v>
      </c>
    </row>
    <row r="914" spans="1:9" x14ac:dyDescent="0.3">
      <c r="A914" s="12">
        <v>45880</v>
      </c>
      <c r="B914" s="13" t="s">
        <v>9</v>
      </c>
      <c r="C914" s="13" t="s">
        <v>19</v>
      </c>
      <c r="D914" s="13" t="s">
        <v>16</v>
      </c>
      <c r="E914" s="13">
        <v>10</v>
      </c>
      <c r="F914" s="14">
        <v>18136</v>
      </c>
      <c r="G914" s="14">
        <v>181360</v>
      </c>
      <c r="H914" s="13" t="s">
        <v>41</v>
      </c>
      <c r="I914" s="13" t="s">
        <v>42</v>
      </c>
    </row>
    <row r="915" spans="1:9" x14ac:dyDescent="0.3">
      <c r="A915" s="12">
        <v>45880</v>
      </c>
      <c r="B915" s="13" t="s">
        <v>17</v>
      </c>
      <c r="C915" s="13" t="s">
        <v>19</v>
      </c>
      <c r="D915" s="13" t="s">
        <v>26</v>
      </c>
      <c r="E915" s="13">
        <v>6</v>
      </c>
      <c r="F915" s="14">
        <v>18311</v>
      </c>
      <c r="G915" s="14">
        <v>109866</v>
      </c>
      <c r="H915" s="13" t="s">
        <v>41</v>
      </c>
      <c r="I915" s="13" t="s">
        <v>42</v>
      </c>
    </row>
    <row r="916" spans="1:9" x14ac:dyDescent="0.3">
      <c r="A916" s="12">
        <v>45880</v>
      </c>
      <c r="B916" s="13" t="s">
        <v>23</v>
      </c>
      <c r="C916" s="13" t="s">
        <v>10</v>
      </c>
      <c r="D916" s="13" t="s">
        <v>24</v>
      </c>
      <c r="E916" s="13">
        <v>2</v>
      </c>
      <c r="F916" s="14">
        <v>11857</v>
      </c>
      <c r="G916" s="14">
        <v>23714</v>
      </c>
      <c r="H916" s="13" t="s">
        <v>41</v>
      </c>
      <c r="I916" s="13" t="s">
        <v>42</v>
      </c>
    </row>
    <row r="917" spans="1:9" x14ac:dyDescent="0.3">
      <c r="A917" s="12">
        <v>45881</v>
      </c>
      <c r="B917" s="13" t="s">
        <v>23</v>
      </c>
      <c r="C917" s="13" t="s">
        <v>10</v>
      </c>
      <c r="D917" s="13" t="s">
        <v>27</v>
      </c>
      <c r="E917" s="13">
        <v>3</v>
      </c>
      <c r="F917" s="14">
        <v>12168</v>
      </c>
      <c r="G917" s="14">
        <v>36504</v>
      </c>
      <c r="H917" s="13" t="s">
        <v>41</v>
      </c>
      <c r="I917" s="13" t="s">
        <v>42</v>
      </c>
    </row>
    <row r="918" spans="1:9" x14ac:dyDescent="0.3">
      <c r="A918" s="12">
        <v>45881</v>
      </c>
      <c r="B918" s="13" t="s">
        <v>20</v>
      </c>
      <c r="C918" s="13" t="s">
        <v>21</v>
      </c>
      <c r="D918" s="13" t="s">
        <v>18</v>
      </c>
      <c r="E918" s="13">
        <v>2</v>
      </c>
      <c r="F918" s="14">
        <v>3352</v>
      </c>
      <c r="G918" s="14">
        <v>6704</v>
      </c>
      <c r="H918" s="13" t="s">
        <v>41</v>
      </c>
      <c r="I918" s="13" t="s">
        <v>42</v>
      </c>
    </row>
    <row r="919" spans="1:9" x14ac:dyDescent="0.3">
      <c r="A919" s="12">
        <v>45881</v>
      </c>
      <c r="B919" s="13" t="s">
        <v>20</v>
      </c>
      <c r="C919" s="13" t="s">
        <v>15</v>
      </c>
      <c r="D919" s="13" t="s">
        <v>26</v>
      </c>
      <c r="E919" s="13">
        <v>6</v>
      </c>
      <c r="F919" s="14">
        <v>22336</v>
      </c>
      <c r="G919" s="14">
        <v>134016</v>
      </c>
      <c r="H919" s="13" t="s">
        <v>41</v>
      </c>
      <c r="I919" s="13" t="s">
        <v>42</v>
      </c>
    </row>
    <row r="920" spans="1:9" x14ac:dyDescent="0.3">
      <c r="A920" s="12">
        <v>45881</v>
      </c>
      <c r="B920" s="13" t="s">
        <v>20</v>
      </c>
      <c r="C920" s="13" t="s">
        <v>22</v>
      </c>
      <c r="D920" s="13" t="s">
        <v>18</v>
      </c>
      <c r="E920" s="13">
        <v>5</v>
      </c>
      <c r="F920" s="14">
        <v>8310</v>
      </c>
      <c r="G920" s="14">
        <v>41550</v>
      </c>
      <c r="H920" s="13" t="s">
        <v>41</v>
      </c>
      <c r="I920" s="13" t="s">
        <v>42</v>
      </c>
    </row>
    <row r="921" spans="1:9" x14ac:dyDescent="0.3">
      <c r="A921" s="12">
        <v>45882</v>
      </c>
      <c r="B921" s="13" t="s">
        <v>23</v>
      </c>
      <c r="C921" s="13" t="s">
        <v>21</v>
      </c>
      <c r="D921" s="13" t="s">
        <v>27</v>
      </c>
      <c r="E921" s="13">
        <v>3</v>
      </c>
      <c r="F921" s="14">
        <v>3623</v>
      </c>
      <c r="G921" s="14">
        <v>10869</v>
      </c>
      <c r="H921" s="13" t="s">
        <v>41</v>
      </c>
      <c r="I921" s="13" t="s">
        <v>42</v>
      </c>
    </row>
    <row r="922" spans="1:9" x14ac:dyDescent="0.3">
      <c r="A922" s="12">
        <v>45882</v>
      </c>
      <c r="B922" s="13" t="s">
        <v>17</v>
      </c>
      <c r="C922" s="13" t="s">
        <v>10</v>
      </c>
      <c r="D922" s="13" t="s">
        <v>16</v>
      </c>
      <c r="E922" s="13">
        <v>5</v>
      </c>
      <c r="F922" s="14">
        <v>12528</v>
      </c>
      <c r="G922" s="14">
        <v>62640</v>
      </c>
      <c r="H922" s="13" t="s">
        <v>41</v>
      </c>
      <c r="I922" s="13" t="s">
        <v>42</v>
      </c>
    </row>
    <row r="923" spans="1:9" x14ac:dyDescent="0.3">
      <c r="A923" s="12">
        <v>45882</v>
      </c>
      <c r="B923" s="13" t="s">
        <v>9</v>
      </c>
      <c r="C923" s="13" t="s">
        <v>15</v>
      </c>
      <c r="D923" s="13" t="s">
        <v>27</v>
      </c>
      <c r="E923" s="13">
        <v>7</v>
      </c>
      <c r="F923" s="14">
        <v>21126</v>
      </c>
      <c r="G923" s="14">
        <v>147882</v>
      </c>
      <c r="H923" s="13" t="s">
        <v>41</v>
      </c>
      <c r="I923" s="13" t="s">
        <v>42</v>
      </c>
    </row>
    <row r="924" spans="1:9" x14ac:dyDescent="0.3">
      <c r="A924" s="12">
        <v>45882</v>
      </c>
      <c r="B924" s="13" t="s">
        <v>9</v>
      </c>
      <c r="C924" s="13" t="s">
        <v>21</v>
      </c>
      <c r="D924" s="13" t="s">
        <v>28</v>
      </c>
      <c r="E924" s="13">
        <v>1</v>
      </c>
      <c r="F924" s="14">
        <v>3594</v>
      </c>
      <c r="G924" s="14">
        <v>3594</v>
      </c>
      <c r="H924" s="13" t="s">
        <v>41</v>
      </c>
      <c r="I924" s="13" t="s">
        <v>42</v>
      </c>
    </row>
    <row r="925" spans="1:9" x14ac:dyDescent="0.3">
      <c r="A925" s="12">
        <v>45883</v>
      </c>
      <c r="B925" s="13" t="s">
        <v>9</v>
      </c>
      <c r="C925" s="13" t="s">
        <v>25</v>
      </c>
      <c r="D925" s="13" t="s">
        <v>11</v>
      </c>
      <c r="E925" s="13">
        <v>10</v>
      </c>
      <c r="F925" s="14">
        <v>53104</v>
      </c>
      <c r="G925" s="14">
        <v>531040</v>
      </c>
      <c r="H925" s="13" t="s">
        <v>41</v>
      </c>
      <c r="I925" s="13" t="s">
        <v>42</v>
      </c>
    </row>
    <row r="926" spans="1:9" x14ac:dyDescent="0.3">
      <c r="A926" s="12">
        <v>45883</v>
      </c>
      <c r="B926" s="13" t="s">
        <v>23</v>
      </c>
      <c r="C926" s="13" t="s">
        <v>19</v>
      </c>
      <c r="D926" s="13" t="s">
        <v>16</v>
      </c>
      <c r="E926" s="13">
        <v>4</v>
      </c>
      <c r="F926" s="14">
        <v>18427</v>
      </c>
      <c r="G926" s="14">
        <v>73708</v>
      </c>
      <c r="H926" s="13" t="s">
        <v>41</v>
      </c>
      <c r="I926" s="13" t="s">
        <v>42</v>
      </c>
    </row>
    <row r="927" spans="1:9" x14ac:dyDescent="0.3">
      <c r="A927" s="12">
        <v>45883</v>
      </c>
      <c r="B927" s="13" t="s">
        <v>23</v>
      </c>
      <c r="C927" s="13" t="s">
        <v>10</v>
      </c>
      <c r="D927" s="13" t="s">
        <v>27</v>
      </c>
      <c r="E927" s="13">
        <v>3</v>
      </c>
      <c r="F927" s="14">
        <v>12032</v>
      </c>
      <c r="G927" s="14">
        <v>36096</v>
      </c>
      <c r="H927" s="13" t="s">
        <v>41</v>
      </c>
      <c r="I927" s="13" t="s">
        <v>42</v>
      </c>
    </row>
    <row r="928" spans="1:9" x14ac:dyDescent="0.3">
      <c r="A928" s="12">
        <v>45883</v>
      </c>
      <c r="B928" s="13" t="s">
        <v>17</v>
      </c>
      <c r="C928" s="13" t="s">
        <v>25</v>
      </c>
      <c r="D928" s="13" t="s">
        <v>28</v>
      </c>
      <c r="E928" s="13">
        <v>6</v>
      </c>
      <c r="F928" s="14">
        <v>56982</v>
      </c>
      <c r="G928" s="14">
        <v>341892</v>
      </c>
      <c r="H928" s="13" t="s">
        <v>41</v>
      </c>
      <c r="I928" s="13" t="s">
        <v>42</v>
      </c>
    </row>
    <row r="929" spans="1:9" x14ac:dyDescent="0.3">
      <c r="A929" s="12">
        <v>45883</v>
      </c>
      <c r="B929" s="13" t="s">
        <v>20</v>
      </c>
      <c r="C929" s="13" t="s">
        <v>21</v>
      </c>
      <c r="D929" s="13" t="s">
        <v>24</v>
      </c>
      <c r="E929" s="13">
        <v>9</v>
      </c>
      <c r="F929" s="14">
        <v>3652</v>
      </c>
      <c r="G929" s="14">
        <v>32868</v>
      </c>
      <c r="H929" s="13" t="s">
        <v>41</v>
      </c>
      <c r="I929" s="13" t="s">
        <v>42</v>
      </c>
    </row>
    <row r="930" spans="1:9" x14ac:dyDescent="0.3">
      <c r="A930" s="12">
        <v>45883</v>
      </c>
      <c r="B930" s="13" t="s">
        <v>23</v>
      </c>
      <c r="C930" s="13" t="s">
        <v>15</v>
      </c>
      <c r="D930" s="13" t="s">
        <v>27</v>
      </c>
      <c r="E930" s="13">
        <v>10</v>
      </c>
      <c r="F930" s="14">
        <v>22214</v>
      </c>
      <c r="G930" s="14">
        <v>222140</v>
      </c>
      <c r="H930" s="13" t="s">
        <v>41</v>
      </c>
      <c r="I930" s="13" t="s">
        <v>42</v>
      </c>
    </row>
    <row r="931" spans="1:9" x14ac:dyDescent="0.3">
      <c r="A931" s="12">
        <v>45884</v>
      </c>
      <c r="B931" s="13" t="s">
        <v>23</v>
      </c>
      <c r="C931" s="13" t="s">
        <v>22</v>
      </c>
      <c r="D931" s="13" t="s">
        <v>11</v>
      </c>
      <c r="E931" s="13">
        <v>6</v>
      </c>
      <c r="F931" s="14">
        <v>7985</v>
      </c>
      <c r="G931" s="14">
        <v>47910</v>
      </c>
      <c r="H931" s="13" t="s">
        <v>41</v>
      </c>
      <c r="I931" s="13" t="s">
        <v>42</v>
      </c>
    </row>
    <row r="932" spans="1:9" x14ac:dyDescent="0.3">
      <c r="A932" s="12">
        <v>45884</v>
      </c>
      <c r="B932" s="13" t="s">
        <v>17</v>
      </c>
      <c r="C932" s="13" t="s">
        <v>25</v>
      </c>
      <c r="D932" s="13" t="s">
        <v>24</v>
      </c>
      <c r="E932" s="13">
        <v>5</v>
      </c>
      <c r="F932" s="14">
        <v>54261</v>
      </c>
      <c r="G932" s="14">
        <v>271305</v>
      </c>
      <c r="H932" s="13" t="s">
        <v>41</v>
      </c>
      <c r="I932" s="13" t="s">
        <v>42</v>
      </c>
    </row>
    <row r="933" spans="1:9" x14ac:dyDescent="0.3">
      <c r="A933" s="12">
        <v>45884</v>
      </c>
      <c r="B933" s="13" t="s">
        <v>20</v>
      </c>
      <c r="C933" s="13" t="s">
        <v>15</v>
      </c>
      <c r="D933" s="13" t="s">
        <v>11</v>
      </c>
      <c r="E933" s="13">
        <v>1</v>
      </c>
      <c r="F933" s="14">
        <v>20900</v>
      </c>
      <c r="G933" s="14">
        <v>20900</v>
      </c>
      <c r="H933" s="13" t="s">
        <v>41</v>
      </c>
      <c r="I933" s="13" t="s">
        <v>42</v>
      </c>
    </row>
    <row r="934" spans="1:9" x14ac:dyDescent="0.3">
      <c r="A934" s="12">
        <v>45884</v>
      </c>
      <c r="B934" s="13" t="s">
        <v>17</v>
      </c>
      <c r="C934" s="13" t="s">
        <v>19</v>
      </c>
      <c r="D934" s="13" t="s">
        <v>11</v>
      </c>
      <c r="E934" s="13">
        <v>8</v>
      </c>
      <c r="F934" s="14">
        <v>18063</v>
      </c>
      <c r="G934" s="14">
        <v>144504</v>
      </c>
      <c r="H934" s="13" t="s">
        <v>41</v>
      </c>
      <c r="I934" s="13" t="s">
        <v>42</v>
      </c>
    </row>
    <row r="935" spans="1:9" x14ac:dyDescent="0.3">
      <c r="A935" s="12">
        <v>45884</v>
      </c>
      <c r="B935" s="13" t="s">
        <v>23</v>
      </c>
      <c r="C935" s="13" t="s">
        <v>21</v>
      </c>
      <c r="D935" s="13" t="s">
        <v>11</v>
      </c>
      <c r="E935" s="13">
        <v>1</v>
      </c>
      <c r="F935" s="14">
        <v>3593</v>
      </c>
      <c r="G935" s="14">
        <v>3593</v>
      </c>
      <c r="H935" s="13" t="s">
        <v>41</v>
      </c>
      <c r="I935" s="13" t="s">
        <v>42</v>
      </c>
    </row>
    <row r="936" spans="1:9" x14ac:dyDescent="0.3">
      <c r="A936" s="12">
        <v>45884</v>
      </c>
      <c r="B936" s="13" t="s">
        <v>20</v>
      </c>
      <c r="C936" s="13" t="s">
        <v>22</v>
      </c>
      <c r="D936" s="13" t="s">
        <v>16</v>
      </c>
      <c r="E936" s="13">
        <v>1</v>
      </c>
      <c r="F936" s="14">
        <v>8038</v>
      </c>
      <c r="G936" s="14">
        <v>8038</v>
      </c>
      <c r="H936" s="13" t="s">
        <v>41</v>
      </c>
      <c r="I936" s="13" t="s">
        <v>42</v>
      </c>
    </row>
    <row r="937" spans="1:9" x14ac:dyDescent="0.3">
      <c r="A937" s="12">
        <v>45885</v>
      </c>
      <c r="B937" s="13" t="s">
        <v>23</v>
      </c>
      <c r="C937" s="13" t="s">
        <v>22</v>
      </c>
      <c r="D937" s="13" t="s">
        <v>18</v>
      </c>
      <c r="E937" s="13">
        <v>7</v>
      </c>
      <c r="F937" s="14">
        <v>7799</v>
      </c>
      <c r="G937" s="14">
        <v>54593</v>
      </c>
      <c r="H937" s="13" t="s">
        <v>41</v>
      </c>
      <c r="I937" s="13" t="s">
        <v>42</v>
      </c>
    </row>
    <row r="938" spans="1:9" x14ac:dyDescent="0.3">
      <c r="A938" s="12">
        <v>45885</v>
      </c>
      <c r="B938" s="13" t="s">
        <v>23</v>
      </c>
      <c r="C938" s="13" t="s">
        <v>21</v>
      </c>
      <c r="D938" s="13" t="s">
        <v>16</v>
      </c>
      <c r="E938" s="13">
        <v>5</v>
      </c>
      <c r="F938" s="14">
        <v>3352</v>
      </c>
      <c r="G938" s="14">
        <v>16760</v>
      </c>
      <c r="H938" s="13" t="s">
        <v>41</v>
      </c>
      <c r="I938" s="13" t="s">
        <v>42</v>
      </c>
    </row>
    <row r="939" spans="1:9" x14ac:dyDescent="0.3">
      <c r="A939" s="12">
        <v>45885</v>
      </c>
      <c r="B939" s="13" t="s">
        <v>17</v>
      </c>
      <c r="C939" s="13" t="s">
        <v>22</v>
      </c>
      <c r="D939" s="13" t="s">
        <v>11</v>
      </c>
      <c r="E939" s="13">
        <v>5</v>
      </c>
      <c r="F939" s="14">
        <v>8118</v>
      </c>
      <c r="G939" s="14">
        <v>40590</v>
      </c>
      <c r="H939" s="13" t="s">
        <v>41</v>
      </c>
      <c r="I939" s="13" t="s">
        <v>42</v>
      </c>
    </row>
    <row r="940" spans="1:9" x14ac:dyDescent="0.3">
      <c r="A940" s="12">
        <v>45886</v>
      </c>
      <c r="B940" s="13" t="s">
        <v>20</v>
      </c>
      <c r="C940" s="13" t="s">
        <v>21</v>
      </c>
      <c r="D940" s="13" t="s">
        <v>16</v>
      </c>
      <c r="E940" s="13">
        <v>2</v>
      </c>
      <c r="F940" s="14">
        <v>3388</v>
      </c>
      <c r="G940" s="14">
        <v>6776</v>
      </c>
      <c r="H940" s="13" t="s">
        <v>41</v>
      </c>
      <c r="I940" s="13" t="s">
        <v>42</v>
      </c>
    </row>
    <row r="941" spans="1:9" x14ac:dyDescent="0.3">
      <c r="A941" s="12">
        <v>45886</v>
      </c>
      <c r="B941" s="13" t="s">
        <v>20</v>
      </c>
      <c r="C941" s="13" t="s">
        <v>25</v>
      </c>
      <c r="D941" s="13" t="s">
        <v>24</v>
      </c>
      <c r="E941" s="13">
        <v>10</v>
      </c>
      <c r="F941" s="14">
        <v>54740</v>
      </c>
      <c r="G941" s="14">
        <v>547400</v>
      </c>
      <c r="H941" s="13" t="s">
        <v>41</v>
      </c>
      <c r="I941" s="13" t="s">
        <v>42</v>
      </c>
    </row>
    <row r="942" spans="1:9" x14ac:dyDescent="0.3">
      <c r="A942" s="12">
        <v>45886</v>
      </c>
      <c r="B942" s="13" t="s">
        <v>23</v>
      </c>
      <c r="C942" s="13" t="s">
        <v>15</v>
      </c>
      <c r="D942" s="13" t="s">
        <v>26</v>
      </c>
      <c r="E942" s="13">
        <v>1</v>
      </c>
      <c r="F942" s="14">
        <v>21234</v>
      </c>
      <c r="G942" s="14">
        <v>21234</v>
      </c>
      <c r="H942" s="13" t="s">
        <v>41</v>
      </c>
      <c r="I942" s="13" t="s">
        <v>42</v>
      </c>
    </row>
    <row r="943" spans="1:9" x14ac:dyDescent="0.3">
      <c r="A943" s="12">
        <v>45886</v>
      </c>
      <c r="B943" s="13" t="s">
        <v>9</v>
      </c>
      <c r="C943" s="13" t="s">
        <v>15</v>
      </c>
      <c r="D943" s="13" t="s">
        <v>14</v>
      </c>
      <c r="E943" s="13">
        <v>5</v>
      </c>
      <c r="F943" s="14">
        <v>21492</v>
      </c>
      <c r="G943" s="14">
        <v>107460</v>
      </c>
      <c r="H943" s="13" t="s">
        <v>41</v>
      </c>
      <c r="I943" s="13" t="s">
        <v>42</v>
      </c>
    </row>
    <row r="944" spans="1:9" x14ac:dyDescent="0.3">
      <c r="A944" s="12">
        <v>45886</v>
      </c>
      <c r="B944" s="13" t="s">
        <v>23</v>
      </c>
      <c r="C944" s="13" t="s">
        <v>10</v>
      </c>
      <c r="D944" s="13" t="s">
        <v>28</v>
      </c>
      <c r="E944" s="13">
        <v>4</v>
      </c>
      <c r="F944" s="14">
        <v>11508</v>
      </c>
      <c r="G944" s="14">
        <v>46032</v>
      </c>
      <c r="H944" s="13" t="s">
        <v>41</v>
      </c>
      <c r="I944" s="13" t="s">
        <v>42</v>
      </c>
    </row>
    <row r="945" spans="1:9" x14ac:dyDescent="0.3">
      <c r="A945" s="12">
        <v>45886</v>
      </c>
      <c r="B945" s="13" t="s">
        <v>9</v>
      </c>
      <c r="C945" s="13" t="s">
        <v>21</v>
      </c>
      <c r="D945" s="13" t="s">
        <v>16</v>
      </c>
      <c r="E945" s="13">
        <v>6</v>
      </c>
      <c r="F945" s="14">
        <v>3472</v>
      </c>
      <c r="G945" s="14">
        <v>20832</v>
      </c>
      <c r="H945" s="13" t="s">
        <v>41</v>
      </c>
      <c r="I945" s="13" t="s">
        <v>42</v>
      </c>
    </row>
    <row r="946" spans="1:9" x14ac:dyDescent="0.3">
      <c r="A946" s="12">
        <v>45887</v>
      </c>
      <c r="B946" s="13" t="s">
        <v>20</v>
      </c>
      <c r="C946" s="13" t="s">
        <v>21</v>
      </c>
      <c r="D946" s="13" t="s">
        <v>28</v>
      </c>
      <c r="E946" s="13">
        <v>6</v>
      </c>
      <c r="F946" s="14">
        <v>3353</v>
      </c>
      <c r="G946" s="14">
        <v>20118</v>
      </c>
      <c r="H946" s="13" t="s">
        <v>41</v>
      </c>
      <c r="I946" s="13" t="s">
        <v>42</v>
      </c>
    </row>
    <row r="947" spans="1:9" x14ac:dyDescent="0.3">
      <c r="A947" s="12">
        <v>45887</v>
      </c>
      <c r="B947" s="13" t="s">
        <v>17</v>
      </c>
      <c r="C947" s="13" t="s">
        <v>25</v>
      </c>
      <c r="D947" s="13" t="s">
        <v>11</v>
      </c>
      <c r="E947" s="13">
        <v>7</v>
      </c>
      <c r="F947" s="14">
        <v>52642</v>
      </c>
      <c r="G947" s="14">
        <v>368494</v>
      </c>
      <c r="H947" s="13" t="s">
        <v>41</v>
      </c>
      <c r="I947" s="13" t="s">
        <v>42</v>
      </c>
    </row>
    <row r="948" spans="1:9" x14ac:dyDescent="0.3">
      <c r="A948" s="12">
        <v>45887</v>
      </c>
      <c r="B948" s="13" t="s">
        <v>23</v>
      </c>
      <c r="C948" s="13" t="s">
        <v>15</v>
      </c>
      <c r="D948" s="13" t="s">
        <v>16</v>
      </c>
      <c r="E948" s="13">
        <v>5</v>
      </c>
      <c r="F948" s="14">
        <v>22697</v>
      </c>
      <c r="G948" s="14">
        <v>113485</v>
      </c>
      <c r="H948" s="13" t="s">
        <v>41</v>
      </c>
      <c r="I948" s="13" t="s">
        <v>42</v>
      </c>
    </row>
    <row r="949" spans="1:9" x14ac:dyDescent="0.3">
      <c r="A949" s="12">
        <v>45887</v>
      </c>
      <c r="B949" s="13" t="s">
        <v>9</v>
      </c>
      <c r="C949" s="13" t="s">
        <v>25</v>
      </c>
      <c r="D949" s="13" t="s">
        <v>16</v>
      </c>
      <c r="E949" s="13">
        <v>7</v>
      </c>
      <c r="F949" s="14">
        <v>56491</v>
      </c>
      <c r="G949" s="14">
        <v>395437</v>
      </c>
      <c r="H949" s="13" t="s">
        <v>41</v>
      </c>
      <c r="I949" s="13" t="s">
        <v>42</v>
      </c>
    </row>
    <row r="950" spans="1:9" x14ac:dyDescent="0.3">
      <c r="A950" s="12">
        <v>45887</v>
      </c>
      <c r="B950" s="13" t="s">
        <v>23</v>
      </c>
      <c r="C950" s="13" t="s">
        <v>15</v>
      </c>
      <c r="D950" s="13" t="s">
        <v>28</v>
      </c>
      <c r="E950" s="13">
        <v>4</v>
      </c>
      <c r="F950" s="14">
        <v>21913</v>
      </c>
      <c r="G950" s="14">
        <v>87652</v>
      </c>
      <c r="H950" s="13" t="s">
        <v>41</v>
      </c>
      <c r="I950" s="13" t="s">
        <v>42</v>
      </c>
    </row>
    <row r="951" spans="1:9" x14ac:dyDescent="0.3">
      <c r="A951" s="12">
        <v>45888</v>
      </c>
      <c r="B951" s="13" t="s">
        <v>17</v>
      </c>
      <c r="C951" s="13" t="s">
        <v>21</v>
      </c>
      <c r="D951" s="13" t="s">
        <v>18</v>
      </c>
      <c r="E951" s="13">
        <v>5</v>
      </c>
      <c r="F951" s="14">
        <v>3652</v>
      </c>
      <c r="G951" s="14">
        <v>18260</v>
      </c>
      <c r="H951" s="13" t="s">
        <v>41</v>
      </c>
      <c r="I951" s="13" t="s">
        <v>42</v>
      </c>
    </row>
    <row r="952" spans="1:9" x14ac:dyDescent="0.3">
      <c r="A952" s="12">
        <v>45888</v>
      </c>
      <c r="B952" s="13" t="s">
        <v>17</v>
      </c>
      <c r="C952" s="13" t="s">
        <v>10</v>
      </c>
      <c r="D952" s="13" t="s">
        <v>28</v>
      </c>
      <c r="E952" s="13">
        <v>9</v>
      </c>
      <c r="F952" s="14">
        <v>12025</v>
      </c>
      <c r="G952" s="14">
        <v>108225</v>
      </c>
      <c r="H952" s="13" t="s">
        <v>41</v>
      </c>
      <c r="I952" s="13" t="s">
        <v>42</v>
      </c>
    </row>
    <row r="953" spans="1:9" x14ac:dyDescent="0.3">
      <c r="A953" s="12">
        <v>45889</v>
      </c>
      <c r="B953" s="13" t="s">
        <v>23</v>
      </c>
      <c r="C953" s="13" t="s">
        <v>10</v>
      </c>
      <c r="D953" s="13" t="s">
        <v>11</v>
      </c>
      <c r="E953" s="13">
        <v>4</v>
      </c>
      <c r="F953" s="14">
        <v>11832</v>
      </c>
      <c r="G953" s="14">
        <v>47328</v>
      </c>
      <c r="H953" s="13" t="s">
        <v>41</v>
      </c>
      <c r="I953" s="13" t="s">
        <v>42</v>
      </c>
    </row>
    <row r="954" spans="1:9" x14ac:dyDescent="0.3">
      <c r="A954" s="12">
        <v>45889</v>
      </c>
      <c r="B954" s="13" t="s">
        <v>9</v>
      </c>
      <c r="C954" s="13" t="s">
        <v>10</v>
      </c>
      <c r="D954" s="13" t="s">
        <v>16</v>
      </c>
      <c r="E954" s="13">
        <v>2</v>
      </c>
      <c r="F954" s="14">
        <v>11683</v>
      </c>
      <c r="G954" s="14">
        <v>23366</v>
      </c>
      <c r="H954" s="13" t="s">
        <v>41</v>
      </c>
      <c r="I954" s="13" t="s">
        <v>42</v>
      </c>
    </row>
    <row r="955" spans="1:9" x14ac:dyDescent="0.3">
      <c r="A955" s="12">
        <v>45889</v>
      </c>
      <c r="B955" s="13" t="s">
        <v>23</v>
      </c>
      <c r="C955" s="13" t="s">
        <v>19</v>
      </c>
      <c r="D955" s="13" t="s">
        <v>28</v>
      </c>
      <c r="E955" s="13">
        <v>3</v>
      </c>
      <c r="F955" s="14">
        <v>18529</v>
      </c>
      <c r="G955" s="14">
        <v>55587</v>
      </c>
      <c r="H955" s="13" t="s">
        <v>41</v>
      </c>
      <c r="I955" s="13" t="s">
        <v>42</v>
      </c>
    </row>
    <row r="956" spans="1:9" x14ac:dyDescent="0.3">
      <c r="A956" s="12">
        <v>45889</v>
      </c>
      <c r="B956" s="13" t="s">
        <v>9</v>
      </c>
      <c r="C956" s="13" t="s">
        <v>21</v>
      </c>
      <c r="D956" s="13" t="s">
        <v>16</v>
      </c>
      <c r="E956" s="13">
        <v>1</v>
      </c>
      <c r="F956" s="14">
        <v>3664</v>
      </c>
      <c r="G956" s="14">
        <v>3664</v>
      </c>
      <c r="H956" s="13" t="s">
        <v>41</v>
      </c>
      <c r="I956" s="13" t="s">
        <v>42</v>
      </c>
    </row>
    <row r="957" spans="1:9" x14ac:dyDescent="0.3">
      <c r="A957" s="12">
        <v>45890</v>
      </c>
      <c r="B957" s="13" t="s">
        <v>23</v>
      </c>
      <c r="C957" s="13" t="s">
        <v>10</v>
      </c>
      <c r="D957" s="13" t="s">
        <v>27</v>
      </c>
      <c r="E957" s="13">
        <v>6</v>
      </c>
      <c r="F957" s="14">
        <v>12324</v>
      </c>
      <c r="G957" s="14">
        <v>73944</v>
      </c>
      <c r="H957" s="13" t="s">
        <v>41</v>
      </c>
      <c r="I957" s="13" t="s">
        <v>42</v>
      </c>
    </row>
    <row r="958" spans="1:9" x14ac:dyDescent="0.3">
      <c r="A958" s="12">
        <v>45890</v>
      </c>
      <c r="B958" s="13" t="s">
        <v>17</v>
      </c>
      <c r="C958" s="13" t="s">
        <v>15</v>
      </c>
      <c r="D958" s="13" t="s">
        <v>24</v>
      </c>
      <c r="E958" s="13">
        <v>2</v>
      </c>
      <c r="F958" s="14">
        <v>22409</v>
      </c>
      <c r="G958" s="14">
        <v>44818</v>
      </c>
      <c r="H958" s="13" t="s">
        <v>41</v>
      </c>
      <c r="I958" s="13" t="s">
        <v>42</v>
      </c>
    </row>
    <row r="959" spans="1:9" x14ac:dyDescent="0.3">
      <c r="A959" s="12">
        <v>45890</v>
      </c>
      <c r="B959" s="13" t="s">
        <v>20</v>
      </c>
      <c r="C959" s="13" t="s">
        <v>10</v>
      </c>
      <c r="D959" s="13" t="s">
        <v>28</v>
      </c>
      <c r="E959" s="13">
        <v>1</v>
      </c>
      <c r="F959" s="14">
        <v>11826</v>
      </c>
      <c r="G959" s="14">
        <v>11826</v>
      </c>
      <c r="H959" s="13" t="s">
        <v>41</v>
      </c>
      <c r="I959" s="13" t="s">
        <v>42</v>
      </c>
    </row>
    <row r="960" spans="1:9" x14ac:dyDescent="0.3">
      <c r="A960" s="12">
        <v>45890</v>
      </c>
      <c r="B960" s="13" t="s">
        <v>17</v>
      </c>
      <c r="C960" s="13" t="s">
        <v>10</v>
      </c>
      <c r="D960" s="13" t="s">
        <v>14</v>
      </c>
      <c r="E960" s="13">
        <v>3</v>
      </c>
      <c r="F960" s="14">
        <v>11985</v>
      </c>
      <c r="G960" s="14">
        <v>35955</v>
      </c>
      <c r="H960" s="13" t="s">
        <v>41</v>
      </c>
      <c r="I960" s="13" t="s">
        <v>42</v>
      </c>
    </row>
    <row r="961" spans="1:9" x14ac:dyDescent="0.3">
      <c r="A961" s="12">
        <v>45890</v>
      </c>
      <c r="B961" s="13" t="s">
        <v>20</v>
      </c>
      <c r="C961" s="13" t="s">
        <v>22</v>
      </c>
      <c r="D961" s="13" t="s">
        <v>26</v>
      </c>
      <c r="E961" s="13">
        <v>8</v>
      </c>
      <c r="F961" s="14">
        <v>8186</v>
      </c>
      <c r="G961" s="14">
        <v>65488</v>
      </c>
      <c r="H961" s="13" t="s">
        <v>41</v>
      </c>
      <c r="I961" s="13" t="s">
        <v>42</v>
      </c>
    </row>
    <row r="962" spans="1:9" x14ac:dyDescent="0.3">
      <c r="A962" s="12">
        <v>45890</v>
      </c>
      <c r="B962" s="13" t="s">
        <v>9</v>
      </c>
      <c r="C962" s="13" t="s">
        <v>10</v>
      </c>
      <c r="D962" s="13" t="s">
        <v>18</v>
      </c>
      <c r="E962" s="13">
        <v>6</v>
      </c>
      <c r="F962" s="14">
        <v>12269</v>
      </c>
      <c r="G962" s="14">
        <v>73614</v>
      </c>
      <c r="H962" s="13" t="s">
        <v>41</v>
      </c>
      <c r="I962" s="13" t="s">
        <v>42</v>
      </c>
    </row>
    <row r="963" spans="1:9" x14ac:dyDescent="0.3">
      <c r="A963" s="12">
        <v>45891</v>
      </c>
      <c r="B963" s="13" t="s">
        <v>9</v>
      </c>
      <c r="C963" s="13" t="s">
        <v>21</v>
      </c>
      <c r="D963" s="13" t="s">
        <v>24</v>
      </c>
      <c r="E963" s="13">
        <v>9</v>
      </c>
      <c r="F963" s="14">
        <v>3428</v>
      </c>
      <c r="G963" s="14">
        <v>30852</v>
      </c>
      <c r="H963" s="13" t="s">
        <v>41</v>
      </c>
      <c r="I963" s="13" t="s">
        <v>42</v>
      </c>
    </row>
    <row r="964" spans="1:9" x14ac:dyDescent="0.3">
      <c r="A964" s="12">
        <v>45891</v>
      </c>
      <c r="B964" s="13" t="s">
        <v>23</v>
      </c>
      <c r="C964" s="13" t="s">
        <v>15</v>
      </c>
      <c r="D964" s="13" t="s">
        <v>27</v>
      </c>
      <c r="E964" s="13">
        <v>9</v>
      </c>
      <c r="F964" s="14">
        <v>21664</v>
      </c>
      <c r="G964" s="14">
        <v>194976</v>
      </c>
      <c r="H964" s="13" t="s">
        <v>41</v>
      </c>
      <c r="I964" s="13" t="s">
        <v>42</v>
      </c>
    </row>
    <row r="965" spans="1:9" x14ac:dyDescent="0.3">
      <c r="A965" s="12">
        <v>45891</v>
      </c>
      <c r="B965" s="13" t="s">
        <v>23</v>
      </c>
      <c r="C965" s="13" t="s">
        <v>19</v>
      </c>
      <c r="D965" s="13" t="s">
        <v>27</v>
      </c>
      <c r="E965" s="13">
        <v>2</v>
      </c>
      <c r="F965" s="14">
        <v>18056</v>
      </c>
      <c r="G965" s="14">
        <v>36112</v>
      </c>
      <c r="H965" s="13" t="s">
        <v>41</v>
      </c>
      <c r="I965" s="13" t="s">
        <v>42</v>
      </c>
    </row>
    <row r="966" spans="1:9" x14ac:dyDescent="0.3">
      <c r="A966" s="12">
        <v>45891</v>
      </c>
      <c r="B966" s="13" t="s">
        <v>23</v>
      </c>
      <c r="C966" s="13" t="s">
        <v>19</v>
      </c>
      <c r="D966" s="13" t="s">
        <v>11</v>
      </c>
      <c r="E966" s="13">
        <v>9</v>
      </c>
      <c r="F966" s="14">
        <v>17760</v>
      </c>
      <c r="G966" s="14">
        <v>159840</v>
      </c>
      <c r="H966" s="13" t="s">
        <v>41</v>
      </c>
      <c r="I966" s="13" t="s">
        <v>42</v>
      </c>
    </row>
    <row r="967" spans="1:9" x14ac:dyDescent="0.3">
      <c r="A967" s="12">
        <v>45892</v>
      </c>
      <c r="B967" s="13" t="s">
        <v>23</v>
      </c>
      <c r="C967" s="13" t="s">
        <v>10</v>
      </c>
      <c r="D967" s="13" t="s">
        <v>27</v>
      </c>
      <c r="E967" s="13">
        <v>1</v>
      </c>
      <c r="F967" s="14">
        <v>12143</v>
      </c>
      <c r="G967" s="14">
        <v>12143</v>
      </c>
      <c r="H967" s="13" t="s">
        <v>41</v>
      </c>
      <c r="I967" s="13" t="s">
        <v>42</v>
      </c>
    </row>
    <row r="968" spans="1:9" x14ac:dyDescent="0.3">
      <c r="A968" s="12">
        <v>45892</v>
      </c>
      <c r="B968" s="13" t="s">
        <v>20</v>
      </c>
      <c r="C968" s="13" t="s">
        <v>22</v>
      </c>
      <c r="D968" s="13" t="s">
        <v>16</v>
      </c>
      <c r="E968" s="13">
        <v>6</v>
      </c>
      <c r="F968" s="14">
        <v>8176</v>
      </c>
      <c r="G968" s="14">
        <v>49056</v>
      </c>
      <c r="H968" s="13" t="s">
        <v>41</v>
      </c>
      <c r="I968" s="13" t="s">
        <v>42</v>
      </c>
    </row>
    <row r="969" spans="1:9" x14ac:dyDescent="0.3">
      <c r="A969" s="12">
        <v>45893</v>
      </c>
      <c r="B969" s="13" t="s">
        <v>23</v>
      </c>
      <c r="C969" s="13" t="s">
        <v>15</v>
      </c>
      <c r="D969" s="13" t="s">
        <v>24</v>
      </c>
      <c r="E969" s="13">
        <v>9</v>
      </c>
      <c r="F969" s="14">
        <v>21239</v>
      </c>
      <c r="G969" s="14">
        <v>191151</v>
      </c>
      <c r="H969" s="13" t="s">
        <v>41</v>
      </c>
      <c r="I969" s="13" t="s">
        <v>42</v>
      </c>
    </row>
    <row r="970" spans="1:9" x14ac:dyDescent="0.3">
      <c r="A970" s="12">
        <v>45893</v>
      </c>
      <c r="B970" s="13" t="s">
        <v>20</v>
      </c>
      <c r="C970" s="13" t="s">
        <v>19</v>
      </c>
      <c r="D970" s="13" t="s">
        <v>18</v>
      </c>
      <c r="E970" s="13">
        <v>6</v>
      </c>
      <c r="F970" s="14">
        <v>17298</v>
      </c>
      <c r="G970" s="14">
        <v>103788</v>
      </c>
      <c r="H970" s="13" t="s">
        <v>41</v>
      </c>
      <c r="I970" s="13" t="s">
        <v>42</v>
      </c>
    </row>
    <row r="971" spans="1:9" x14ac:dyDescent="0.3">
      <c r="A971" s="12">
        <v>45893</v>
      </c>
      <c r="B971" s="13" t="s">
        <v>9</v>
      </c>
      <c r="C971" s="13" t="s">
        <v>25</v>
      </c>
      <c r="D971" s="13" t="s">
        <v>27</v>
      </c>
      <c r="E971" s="13">
        <v>3</v>
      </c>
      <c r="F971" s="14">
        <v>57054</v>
      </c>
      <c r="G971" s="14">
        <v>171162</v>
      </c>
      <c r="H971" s="13" t="s">
        <v>41</v>
      </c>
      <c r="I971" s="13" t="s">
        <v>42</v>
      </c>
    </row>
    <row r="972" spans="1:9" x14ac:dyDescent="0.3">
      <c r="A972" s="12">
        <v>45893</v>
      </c>
      <c r="B972" s="13" t="s">
        <v>17</v>
      </c>
      <c r="C972" s="13" t="s">
        <v>25</v>
      </c>
      <c r="D972" s="13" t="s">
        <v>24</v>
      </c>
      <c r="E972" s="13">
        <v>4</v>
      </c>
      <c r="F972" s="14">
        <v>52793</v>
      </c>
      <c r="G972" s="14">
        <v>211172</v>
      </c>
      <c r="H972" s="13" t="s">
        <v>41</v>
      </c>
      <c r="I972" s="13" t="s">
        <v>42</v>
      </c>
    </row>
    <row r="973" spans="1:9" x14ac:dyDescent="0.3">
      <c r="A973" s="12">
        <v>45893</v>
      </c>
      <c r="B973" s="13" t="s">
        <v>23</v>
      </c>
      <c r="C973" s="13" t="s">
        <v>10</v>
      </c>
      <c r="D973" s="13" t="s">
        <v>24</v>
      </c>
      <c r="E973" s="13">
        <v>9</v>
      </c>
      <c r="F973" s="14">
        <v>12148</v>
      </c>
      <c r="G973" s="14">
        <v>109332</v>
      </c>
      <c r="H973" s="13" t="s">
        <v>41</v>
      </c>
      <c r="I973" s="13" t="s">
        <v>42</v>
      </c>
    </row>
    <row r="974" spans="1:9" x14ac:dyDescent="0.3">
      <c r="A974" s="12">
        <v>45893</v>
      </c>
      <c r="B974" s="13" t="s">
        <v>20</v>
      </c>
      <c r="C974" s="13" t="s">
        <v>25</v>
      </c>
      <c r="D974" s="13" t="s">
        <v>26</v>
      </c>
      <c r="E974" s="13">
        <v>4</v>
      </c>
      <c r="F974" s="14">
        <v>55582</v>
      </c>
      <c r="G974" s="14">
        <v>222328</v>
      </c>
      <c r="H974" s="13" t="s">
        <v>41</v>
      </c>
      <c r="I974" s="13" t="s">
        <v>42</v>
      </c>
    </row>
    <row r="975" spans="1:9" x14ac:dyDescent="0.3">
      <c r="A975" s="12">
        <v>45894</v>
      </c>
      <c r="B975" s="13" t="s">
        <v>9</v>
      </c>
      <c r="C975" s="13" t="s">
        <v>15</v>
      </c>
      <c r="D975" s="13" t="s">
        <v>24</v>
      </c>
      <c r="E975" s="13">
        <v>2</v>
      </c>
      <c r="F975" s="14">
        <v>21929</v>
      </c>
      <c r="G975" s="14">
        <v>43858</v>
      </c>
      <c r="H975" s="13" t="s">
        <v>41</v>
      </c>
      <c r="I975" s="13" t="s">
        <v>42</v>
      </c>
    </row>
    <row r="976" spans="1:9" x14ac:dyDescent="0.3">
      <c r="A976" s="12">
        <v>45894</v>
      </c>
      <c r="B976" s="13" t="s">
        <v>9</v>
      </c>
      <c r="C976" s="13" t="s">
        <v>19</v>
      </c>
      <c r="D976" s="13" t="s">
        <v>18</v>
      </c>
      <c r="E976" s="13">
        <v>6</v>
      </c>
      <c r="F976" s="14">
        <v>18529</v>
      </c>
      <c r="G976" s="14">
        <v>111174</v>
      </c>
      <c r="H976" s="13" t="s">
        <v>41</v>
      </c>
      <c r="I976" s="13" t="s">
        <v>42</v>
      </c>
    </row>
    <row r="977" spans="1:9" x14ac:dyDescent="0.3">
      <c r="A977" s="12">
        <v>45895</v>
      </c>
      <c r="B977" s="13" t="s">
        <v>20</v>
      </c>
      <c r="C977" s="13" t="s">
        <v>22</v>
      </c>
      <c r="D977" s="13" t="s">
        <v>28</v>
      </c>
      <c r="E977" s="13">
        <v>2</v>
      </c>
      <c r="F977" s="14">
        <v>8267</v>
      </c>
      <c r="G977" s="14">
        <v>16534</v>
      </c>
      <c r="H977" s="13" t="s">
        <v>41</v>
      </c>
      <c r="I977" s="13" t="s">
        <v>42</v>
      </c>
    </row>
    <row r="978" spans="1:9" x14ac:dyDescent="0.3">
      <c r="A978" s="12">
        <v>45895</v>
      </c>
      <c r="B978" s="13" t="s">
        <v>9</v>
      </c>
      <c r="C978" s="13" t="s">
        <v>15</v>
      </c>
      <c r="D978" s="13" t="s">
        <v>14</v>
      </c>
      <c r="E978" s="13">
        <v>2</v>
      </c>
      <c r="F978" s="14">
        <v>22495</v>
      </c>
      <c r="G978" s="14">
        <v>44990</v>
      </c>
      <c r="H978" s="13" t="s">
        <v>41</v>
      </c>
      <c r="I978" s="13" t="s">
        <v>42</v>
      </c>
    </row>
    <row r="979" spans="1:9" x14ac:dyDescent="0.3">
      <c r="A979" s="12">
        <v>45896</v>
      </c>
      <c r="B979" s="13" t="s">
        <v>23</v>
      </c>
      <c r="C979" s="13" t="s">
        <v>15</v>
      </c>
      <c r="D979" s="13" t="s">
        <v>16</v>
      </c>
      <c r="E979" s="13">
        <v>9</v>
      </c>
      <c r="F979" s="14">
        <v>22345</v>
      </c>
      <c r="G979" s="14">
        <v>201105</v>
      </c>
      <c r="H979" s="13" t="s">
        <v>41</v>
      </c>
      <c r="I979" s="13" t="s">
        <v>42</v>
      </c>
    </row>
    <row r="980" spans="1:9" x14ac:dyDescent="0.3">
      <c r="A980" s="12">
        <v>45896</v>
      </c>
      <c r="B980" s="13" t="s">
        <v>17</v>
      </c>
      <c r="C980" s="13" t="s">
        <v>22</v>
      </c>
      <c r="D980" s="13" t="s">
        <v>18</v>
      </c>
      <c r="E980" s="13">
        <v>2</v>
      </c>
      <c r="F980" s="14">
        <v>8213</v>
      </c>
      <c r="G980" s="14">
        <v>16426</v>
      </c>
      <c r="H980" s="13" t="s">
        <v>41</v>
      </c>
      <c r="I980" s="13" t="s">
        <v>42</v>
      </c>
    </row>
    <row r="981" spans="1:9" x14ac:dyDescent="0.3">
      <c r="A981" s="12">
        <v>45896</v>
      </c>
      <c r="B981" s="13" t="s">
        <v>20</v>
      </c>
      <c r="C981" s="13" t="s">
        <v>10</v>
      </c>
      <c r="D981" s="13" t="s">
        <v>24</v>
      </c>
      <c r="E981" s="13">
        <v>7</v>
      </c>
      <c r="F981" s="14">
        <v>12459</v>
      </c>
      <c r="G981" s="14">
        <v>87213</v>
      </c>
      <c r="H981" s="13" t="s">
        <v>41</v>
      </c>
      <c r="I981" s="13" t="s">
        <v>42</v>
      </c>
    </row>
    <row r="982" spans="1:9" x14ac:dyDescent="0.3">
      <c r="A982" s="12">
        <v>45896</v>
      </c>
      <c r="B982" s="13" t="s">
        <v>17</v>
      </c>
      <c r="C982" s="13" t="s">
        <v>15</v>
      </c>
      <c r="D982" s="13" t="s">
        <v>18</v>
      </c>
      <c r="E982" s="13">
        <v>9</v>
      </c>
      <c r="F982" s="14">
        <v>21642</v>
      </c>
      <c r="G982" s="14">
        <v>194778</v>
      </c>
      <c r="H982" s="13" t="s">
        <v>41</v>
      </c>
      <c r="I982" s="13" t="s">
        <v>42</v>
      </c>
    </row>
    <row r="983" spans="1:9" x14ac:dyDescent="0.3">
      <c r="A983" s="12">
        <v>45896</v>
      </c>
      <c r="B983" s="13" t="s">
        <v>17</v>
      </c>
      <c r="C983" s="13" t="s">
        <v>22</v>
      </c>
      <c r="D983" s="13" t="s">
        <v>24</v>
      </c>
      <c r="E983" s="13">
        <v>6</v>
      </c>
      <c r="F983" s="14">
        <v>8321</v>
      </c>
      <c r="G983" s="14">
        <v>49926</v>
      </c>
      <c r="H983" s="13" t="s">
        <v>41</v>
      </c>
      <c r="I983" s="13" t="s">
        <v>42</v>
      </c>
    </row>
    <row r="984" spans="1:9" x14ac:dyDescent="0.3">
      <c r="A984" s="12">
        <v>45896</v>
      </c>
      <c r="B984" s="13" t="s">
        <v>20</v>
      </c>
      <c r="C984" s="13" t="s">
        <v>19</v>
      </c>
      <c r="D984" s="13" t="s">
        <v>18</v>
      </c>
      <c r="E984" s="13">
        <v>7</v>
      </c>
      <c r="F984" s="14">
        <v>18587</v>
      </c>
      <c r="G984" s="14">
        <v>130109</v>
      </c>
      <c r="H984" s="13" t="s">
        <v>41</v>
      </c>
      <c r="I984" s="13" t="s">
        <v>42</v>
      </c>
    </row>
    <row r="985" spans="1:9" x14ac:dyDescent="0.3">
      <c r="A985" s="12">
        <v>45897</v>
      </c>
      <c r="B985" s="13" t="s">
        <v>17</v>
      </c>
      <c r="C985" s="13" t="s">
        <v>22</v>
      </c>
      <c r="D985" s="13" t="s">
        <v>16</v>
      </c>
      <c r="E985" s="13">
        <v>7</v>
      </c>
      <c r="F985" s="14">
        <v>8212</v>
      </c>
      <c r="G985" s="14">
        <v>57484</v>
      </c>
      <c r="H985" s="13" t="s">
        <v>41</v>
      </c>
      <c r="I985" s="13" t="s">
        <v>42</v>
      </c>
    </row>
    <row r="986" spans="1:9" x14ac:dyDescent="0.3">
      <c r="A986" s="12">
        <v>45897</v>
      </c>
      <c r="B986" s="13" t="s">
        <v>20</v>
      </c>
      <c r="C986" s="13" t="s">
        <v>19</v>
      </c>
      <c r="D986" s="13" t="s">
        <v>24</v>
      </c>
      <c r="E986" s="13">
        <v>8</v>
      </c>
      <c r="F986" s="14">
        <v>18827</v>
      </c>
      <c r="G986" s="14">
        <v>150616</v>
      </c>
      <c r="H986" s="13" t="s">
        <v>41</v>
      </c>
      <c r="I986" s="13" t="s">
        <v>42</v>
      </c>
    </row>
    <row r="987" spans="1:9" x14ac:dyDescent="0.3">
      <c r="A987" s="12">
        <v>45897</v>
      </c>
      <c r="B987" s="13" t="s">
        <v>9</v>
      </c>
      <c r="C987" s="13" t="s">
        <v>10</v>
      </c>
      <c r="D987" s="13" t="s">
        <v>28</v>
      </c>
      <c r="E987" s="13">
        <v>5</v>
      </c>
      <c r="F987" s="14">
        <v>12114</v>
      </c>
      <c r="G987" s="14">
        <v>60570</v>
      </c>
      <c r="H987" s="13" t="s">
        <v>41</v>
      </c>
      <c r="I987" s="13" t="s">
        <v>42</v>
      </c>
    </row>
    <row r="988" spans="1:9" x14ac:dyDescent="0.3">
      <c r="A988" s="12">
        <v>45897</v>
      </c>
      <c r="B988" s="13" t="s">
        <v>17</v>
      </c>
      <c r="C988" s="13" t="s">
        <v>19</v>
      </c>
      <c r="D988" s="13" t="s">
        <v>28</v>
      </c>
      <c r="E988" s="13">
        <v>5</v>
      </c>
      <c r="F988" s="14">
        <v>18871</v>
      </c>
      <c r="G988" s="14">
        <v>94355</v>
      </c>
      <c r="H988" s="13" t="s">
        <v>41</v>
      </c>
      <c r="I988" s="13" t="s">
        <v>42</v>
      </c>
    </row>
    <row r="989" spans="1:9" x14ac:dyDescent="0.3">
      <c r="A989" s="12">
        <v>45898</v>
      </c>
      <c r="B989" s="13" t="s">
        <v>20</v>
      </c>
      <c r="C989" s="13" t="s">
        <v>25</v>
      </c>
      <c r="D989" s="13" t="s">
        <v>11</v>
      </c>
      <c r="E989" s="13">
        <v>9</v>
      </c>
      <c r="F989" s="14">
        <v>55061</v>
      </c>
      <c r="G989" s="14">
        <v>495549</v>
      </c>
      <c r="H989" s="13" t="s">
        <v>41</v>
      </c>
      <c r="I989" s="13" t="s">
        <v>42</v>
      </c>
    </row>
    <row r="990" spans="1:9" x14ac:dyDescent="0.3">
      <c r="A990" s="12">
        <v>45898</v>
      </c>
      <c r="B990" s="13" t="s">
        <v>17</v>
      </c>
      <c r="C990" s="13" t="s">
        <v>25</v>
      </c>
      <c r="D990" s="13" t="s">
        <v>28</v>
      </c>
      <c r="E990" s="13">
        <v>8</v>
      </c>
      <c r="F990" s="14">
        <v>54206</v>
      </c>
      <c r="G990" s="14">
        <v>433648</v>
      </c>
      <c r="H990" s="13" t="s">
        <v>41</v>
      </c>
      <c r="I990" s="13" t="s">
        <v>42</v>
      </c>
    </row>
    <row r="991" spans="1:9" x14ac:dyDescent="0.3">
      <c r="A991" s="12">
        <v>45898</v>
      </c>
      <c r="B991" s="13" t="s">
        <v>17</v>
      </c>
      <c r="C991" s="13" t="s">
        <v>19</v>
      </c>
      <c r="D991" s="13" t="s">
        <v>26</v>
      </c>
      <c r="E991" s="13">
        <v>10</v>
      </c>
      <c r="F991" s="14">
        <v>17549</v>
      </c>
      <c r="G991" s="14">
        <v>175490</v>
      </c>
      <c r="H991" s="13" t="s">
        <v>41</v>
      </c>
      <c r="I991" s="13" t="s">
        <v>42</v>
      </c>
    </row>
    <row r="992" spans="1:9" x14ac:dyDescent="0.3">
      <c r="A992" s="12">
        <v>45899</v>
      </c>
      <c r="B992" s="13" t="s">
        <v>20</v>
      </c>
      <c r="C992" s="13" t="s">
        <v>25</v>
      </c>
      <c r="D992" s="13" t="s">
        <v>18</v>
      </c>
      <c r="E992" s="13">
        <v>10</v>
      </c>
      <c r="F992" s="14">
        <v>57298</v>
      </c>
      <c r="G992" s="14">
        <v>572980</v>
      </c>
      <c r="H992" s="13" t="s">
        <v>41</v>
      </c>
      <c r="I992" s="13" t="s">
        <v>42</v>
      </c>
    </row>
    <row r="993" spans="1:9" x14ac:dyDescent="0.3">
      <c r="A993" s="12">
        <v>45899</v>
      </c>
      <c r="B993" s="13" t="s">
        <v>9</v>
      </c>
      <c r="C993" s="13" t="s">
        <v>10</v>
      </c>
      <c r="D993" s="13" t="s">
        <v>26</v>
      </c>
      <c r="E993" s="13">
        <v>8</v>
      </c>
      <c r="F993" s="14">
        <v>11607</v>
      </c>
      <c r="G993" s="14">
        <v>92856</v>
      </c>
      <c r="H993" s="13" t="s">
        <v>41</v>
      </c>
      <c r="I993" s="13" t="s">
        <v>42</v>
      </c>
    </row>
    <row r="994" spans="1:9" x14ac:dyDescent="0.3">
      <c r="A994" s="12">
        <v>45899</v>
      </c>
      <c r="B994" s="13" t="s">
        <v>9</v>
      </c>
      <c r="C994" s="13" t="s">
        <v>22</v>
      </c>
      <c r="D994" s="13" t="s">
        <v>11</v>
      </c>
      <c r="E994" s="13">
        <v>1</v>
      </c>
      <c r="F994" s="14">
        <v>8184</v>
      </c>
      <c r="G994" s="14">
        <v>8184</v>
      </c>
      <c r="H994" s="13" t="s">
        <v>41</v>
      </c>
      <c r="I994" s="13" t="s">
        <v>42</v>
      </c>
    </row>
    <row r="995" spans="1:9" x14ac:dyDescent="0.3">
      <c r="A995" s="12">
        <v>45899</v>
      </c>
      <c r="B995" s="13" t="s">
        <v>23</v>
      </c>
      <c r="C995" s="13" t="s">
        <v>25</v>
      </c>
      <c r="D995" s="13" t="s">
        <v>28</v>
      </c>
      <c r="E995" s="13">
        <v>6</v>
      </c>
      <c r="F995" s="14">
        <v>54163</v>
      </c>
      <c r="G995" s="14">
        <v>324978</v>
      </c>
      <c r="H995" s="13" t="s">
        <v>41</v>
      </c>
      <c r="I995" s="13" t="s">
        <v>42</v>
      </c>
    </row>
    <row r="996" spans="1:9" x14ac:dyDescent="0.3">
      <c r="A996" s="12">
        <v>45900</v>
      </c>
      <c r="B996" s="13" t="s">
        <v>23</v>
      </c>
      <c r="C996" s="13" t="s">
        <v>25</v>
      </c>
      <c r="D996" s="13" t="s">
        <v>16</v>
      </c>
      <c r="E996" s="13">
        <v>10</v>
      </c>
      <c r="F996" s="14">
        <v>57357</v>
      </c>
      <c r="G996" s="14">
        <v>573570</v>
      </c>
      <c r="H996" s="13" t="s">
        <v>41</v>
      </c>
      <c r="I996" s="13" t="s">
        <v>42</v>
      </c>
    </row>
    <row r="997" spans="1:9" x14ac:dyDescent="0.3">
      <c r="A997" s="12">
        <v>45900</v>
      </c>
      <c r="B997" s="13" t="s">
        <v>23</v>
      </c>
      <c r="C997" s="13" t="s">
        <v>25</v>
      </c>
      <c r="D997" s="13" t="s">
        <v>11</v>
      </c>
      <c r="E997" s="13">
        <v>9</v>
      </c>
      <c r="F997" s="14">
        <v>52476</v>
      </c>
      <c r="G997" s="14">
        <v>472284</v>
      </c>
      <c r="H997" s="13" t="s">
        <v>41</v>
      </c>
      <c r="I997" s="13" t="s">
        <v>42</v>
      </c>
    </row>
    <row r="998" spans="1:9" x14ac:dyDescent="0.3">
      <c r="A998" s="12">
        <v>45900</v>
      </c>
      <c r="B998" s="13" t="s">
        <v>17</v>
      </c>
      <c r="C998" s="13" t="s">
        <v>19</v>
      </c>
      <c r="D998" s="13" t="s">
        <v>16</v>
      </c>
      <c r="E998" s="13">
        <v>3</v>
      </c>
      <c r="F998" s="14">
        <v>17190</v>
      </c>
      <c r="G998" s="14">
        <v>51570</v>
      </c>
      <c r="H998" s="13" t="s">
        <v>41</v>
      </c>
      <c r="I998" s="13" t="s">
        <v>42</v>
      </c>
    </row>
    <row r="999" spans="1:9" x14ac:dyDescent="0.3">
      <c r="A999" s="12">
        <v>45900</v>
      </c>
      <c r="B999" s="13" t="s">
        <v>23</v>
      </c>
      <c r="C999" s="13" t="s">
        <v>21</v>
      </c>
      <c r="D999" s="13" t="s">
        <v>14</v>
      </c>
      <c r="E999" s="13">
        <v>4</v>
      </c>
      <c r="F999" s="14">
        <v>3476</v>
      </c>
      <c r="G999" s="14">
        <v>13904</v>
      </c>
      <c r="H999" s="13" t="s">
        <v>41</v>
      </c>
      <c r="I999" s="13" t="s">
        <v>42</v>
      </c>
    </row>
    <row r="1000" spans="1:9" x14ac:dyDescent="0.3">
      <c r="A1000" s="12">
        <v>45900</v>
      </c>
      <c r="B1000" s="13" t="s">
        <v>23</v>
      </c>
      <c r="C1000" s="13" t="s">
        <v>15</v>
      </c>
      <c r="D1000" s="13" t="s">
        <v>27</v>
      </c>
      <c r="E1000" s="13">
        <v>6</v>
      </c>
      <c r="F1000" s="14">
        <v>21081</v>
      </c>
      <c r="G1000" s="14">
        <v>126486</v>
      </c>
      <c r="H1000" s="13" t="s">
        <v>41</v>
      </c>
      <c r="I1000" s="13" t="s">
        <v>42</v>
      </c>
    </row>
    <row r="1001" spans="1:9" x14ac:dyDescent="0.3">
      <c r="A1001" s="12">
        <v>45901</v>
      </c>
      <c r="B1001" s="13" t="s">
        <v>9</v>
      </c>
      <c r="C1001" s="13" t="s">
        <v>22</v>
      </c>
      <c r="D1001" s="13" t="s">
        <v>18</v>
      </c>
      <c r="E1001" s="13">
        <v>5</v>
      </c>
      <c r="F1001" s="14">
        <v>7668</v>
      </c>
      <c r="G1001" s="14">
        <v>38340</v>
      </c>
      <c r="H1001" s="13" t="s">
        <v>43</v>
      </c>
      <c r="I1001" s="13" t="s">
        <v>44</v>
      </c>
    </row>
    <row r="1002" spans="1:9" x14ac:dyDescent="0.3">
      <c r="A1002" s="12">
        <v>45901</v>
      </c>
      <c r="B1002" s="13" t="s">
        <v>23</v>
      </c>
      <c r="C1002" s="13" t="s">
        <v>10</v>
      </c>
      <c r="D1002" s="13" t="s">
        <v>27</v>
      </c>
      <c r="E1002" s="13">
        <v>3</v>
      </c>
      <c r="F1002" s="14">
        <v>11977</v>
      </c>
      <c r="G1002" s="14">
        <v>35931</v>
      </c>
      <c r="H1002" s="13" t="s">
        <v>43</v>
      </c>
      <c r="I1002" s="13" t="s">
        <v>44</v>
      </c>
    </row>
    <row r="1003" spans="1:9" x14ac:dyDescent="0.3">
      <c r="A1003" s="12">
        <v>45901</v>
      </c>
      <c r="B1003" s="13" t="s">
        <v>17</v>
      </c>
      <c r="C1003" s="13" t="s">
        <v>21</v>
      </c>
      <c r="D1003" s="13" t="s">
        <v>18</v>
      </c>
      <c r="E1003" s="13">
        <v>10</v>
      </c>
      <c r="F1003" s="14">
        <v>3393</v>
      </c>
      <c r="G1003" s="14">
        <v>33930</v>
      </c>
      <c r="H1003" s="13" t="s">
        <v>43</v>
      </c>
      <c r="I1003" s="13" t="s">
        <v>44</v>
      </c>
    </row>
    <row r="1004" spans="1:9" x14ac:dyDescent="0.3">
      <c r="A1004" s="12">
        <v>45901</v>
      </c>
      <c r="B1004" s="13" t="s">
        <v>17</v>
      </c>
      <c r="C1004" s="13" t="s">
        <v>15</v>
      </c>
      <c r="D1004" s="13" t="s">
        <v>14</v>
      </c>
      <c r="E1004" s="13">
        <v>5</v>
      </c>
      <c r="F1004" s="14">
        <v>22608</v>
      </c>
      <c r="G1004" s="14">
        <v>113040</v>
      </c>
      <c r="H1004" s="13" t="s">
        <v>43</v>
      </c>
      <c r="I1004" s="13" t="s">
        <v>44</v>
      </c>
    </row>
    <row r="1005" spans="1:9" x14ac:dyDescent="0.3">
      <c r="A1005" s="12">
        <v>45901</v>
      </c>
      <c r="B1005" s="13" t="s">
        <v>20</v>
      </c>
      <c r="C1005" s="13" t="s">
        <v>10</v>
      </c>
      <c r="D1005" s="13" t="s">
        <v>14</v>
      </c>
      <c r="E1005" s="13">
        <v>2</v>
      </c>
      <c r="F1005" s="14">
        <v>12206</v>
      </c>
      <c r="G1005" s="14">
        <v>24412</v>
      </c>
      <c r="H1005" s="13" t="s">
        <v>43</v>
      </c>
      <c r="I1005" s="13" t="s">
        <v>44</v>
      </c>
    </row>
    <row r="1006" spans="1:9" x14ac:dyDescent="0.3">
      <c r="A1006" s="12">
        <v>45901</v>
      </c>
      <c r="B1006" s="13" t="s">
        <v>23</v>
      </c>
      <c r="C1006" s="13" t="s">
        <v>19</v>
      </c>
      <c r="D1006" s="13" t="s">
        <v>26</v>
      </c>
      <c r="E1006" s="13">
        <v>4</v>
      </c>
      <c r="F1006" s="14">
        <v>17677</v>
      </c>
      <c r="G1006" s="14">
        <v>70708</v>
      </c>
      <c r="H1006" s="13" t="s">
        <v>43</v>
      </c>
      <c r="I1006" s="13" t="s">
        <v>44</v>
      </c>
    </row>
    <row r="1007" spans="1:9" x14ac:dyDescent="0.3">
      <c r="A1007" s="12">
        <v>45902</v>
      </c>
      <c r="B1007" s="13" t="s">
        <v>9</v>
      </c>
      <c r="C1007" s="13" t="s">
        <v>19</v>
      </c>
      <c r="D1007" s="13" t="s">
        <v>27</v>
      </c>
      <c r="E1007" s="13">
        <v>6</v>
      </c>
      <c r="F1007" s="14">
        <v>18209</v>
      </c>
      <c r="G1007" s="14">
        <v>109254</v>
      </c>
      <c r="H1007" s="13" t="s">
        <v>43</v>
      </c>
      <c r="I1007" s="13" t="s">
        <v>44</v>
      </c>
    </row>
    <row r="1008" spans="1:9" x14ac:dyDescent="0.3">
      <c r="A1008" s="12">
        <v>45902</v>
      </c>
      <c r="B1008" s="13" t="s">
        <v>23</v>
      </c>
      <c r="C1008" s="13" t="s">
        <v>22</v>
      </c>
      <c r="D1008" s="13" t="s">
        <v>27</v>
      </c>
      <c r="E1008" s="13">
        <v>8</v>
      </c>
      <c r="F1008" s="14">
        <v>7635</v>
      </c>
      <c r="G1008" s="14">
        <v>61080</v>
      </c>
      <c r="H1008" s="13" t="s">
        <v>43</v>
      </c>
      <c r="I1008" s="13" t="s">
        <v>44</v>
      </c>
    </row>
    <row r="1009" spans="1:9" x14ac:dyDescent="0.3">
      <c r="A1009" s="12">
        <v>45902</v>
      </c>
      <c r="B1009" s="13" t="s">
        <v>17</v>
      </c>
      <c r="C1009" s="13" t="s">
        <v>15</v>
      </c>
      <c r="D1009" s="13" t="s">
        <v>26</v>
      </c>
      <c r="E1009" s="13">
        <v>3</v>
      </c>
      <c r="F1009" s="14">
        <v>22567</v>
      </c>
      <c r="G1009" s="14">
        <v>67701</v>
      </c>
      <c r="H1009" s="13" t="s">
        <v>43</v>
      </c>
      <c r="I1009" s="13" t="s">
        <v>44</v>
      </c>
    </row>
    <row r="1010" spans="1:9" x14ac:dyDescent="0.3">
      <c r="A1010" s="12">
        <v>45902</v>
      </c>
      <c r="B1010" s="13" t="s">
        <v>9</v>
      </c>
      <c r="C1010" s="13" t="s">
        <v>25</v>
      </c>
      <c r="D1010" s="13" t="s">
        <v>28</v>
      </c>
      <c r="E1010" s="13">
        <v>4</v>
      </c>
      <c r="F1010" s="14">
        <v>57469</v>
      </c>
      <c r="G1010" s="14">
        <v>229876</v>
      </c>
      <c r="H1010" s="13" t="s">
        <v>43</v>
      </c>
      <c r="I1010" s="13" t="s">
        <v>44</v>
      </c>
    </row>
    <row r="1011" spans="1:9" x14ac:dyDescent="0.3">
      <c r="A1011" s="12">
        <v>45902</v>
      </c>
      <c r="B1011" s="13" t="s">
        <v>17</v>
      </c>
      <c r="C1011" s="13" t="s">
        <v>19</v>
      </c>
      <c r="D1011" s="13" t="s">
        <v>28</v>
      </c>
      <c r="E1011" s="13">
        <v>6</v>
      </c>
      <c r="F1011" s="14">
        <v>18348</v>
      </c>
      <c r="G1011" s="14">
        <v>110088</v>
      </c>
      <c r="H1011" s="13" t="s">
        <v>43</v>
      </c>
      <c r="I1011" s="13" t="s">
        <v>44</v>
      </c>
    </row>
    <row r="1012" spans="1:9" x14ac:dyDescent="0.3">
      <c r="A1012" s="12">
        <v>45902</v>
      </c>
      <c r="B1012" s="13" t="s">
        <v>9</v>
      </c>
      <c r="C1012" s="13" t="s">
        <v>19</v>
      </c>
      <c r="D1012" s="13" t="s">
        <v>24</v>
      </c>
      <c r="E1012" s="13">
        <v>8</v>
      </c>
      <c r="F1012" s="14">
        <v>17140</v>
      </c>
      <c r="G1012" s="14">
        <v>137120</v>
      </c>
      <c r="H1012" s="13" t="s">
        <v>43</v>
      </c>
      <c r="I1012" s="13" t="s">
        <v>44</v>
      </c>
    </row>
    <row r="1013" spans="1:9" x14ac:dyDescent="0.3">
      <c r="A1013" s="12">
        <v>45903</v>
      </c>
      <c r="B1013" s="13" t="s">
        <v>17</v>
      </c>
      <c r="C1013" s="13" t="s">
        <v>15</v>
      </c>
      <c r="D1013" s="13" t="s">
        <v>11</v>
      </c>
      <c r="E1013" s="13">
        <v>9</v>
      </c>
      <c r="F1013" s="14">
        <v>21962</v>
      </c>
      <c r="G1013" s="14">
        <v>197658</v>
      </c>
      <c r="H1013" s="13" t="s">
        <v>43</v>
      </c>
      <c r="I1013" s="13" t="s">
        <v>44</v>
      </c>
    </row>
    <row r="1014" spans="1:9" x14ac:dyDescent="0.3">
      <c r="A1014" s="12">
        <v>45903</v>
      </c>
      <c r="B1014" s="13" t="s">
        <v>17</v>
      </c>
      <c r="C1014" s="13" t="s">
        <v>10</v>
      </c>
      <c r="D1014" s="13" t="s">
        <v>28</v>
      </c>
      <c r="E1014" s="13">
        <v>7</v>
      </c>
      <c r="F1014" s="14">
        <v>12099</v>
      </c>
      <c r="G1014" s="14">
        <v>84693</v>
      </c>
      <c r="H1014" s="13" t="s">
        <v>43</v>
      </c>
      <c r="I1014" s="13" t="s">
        <v>44</v>
      </c>
    </row>
    <row r="1015" spans="1:9" x14ac:dyDescent="0.3">
      <c r="A1015" s="12">
        <v>45903</v>
      </c>
      <c r="B1015" s="13" t="s">
        <v>9</v>
      </c>
      <c r="C1015" s="13" t="s">
        <v>19</v>
      </c>
      <c r="D1015" s="13" t="s">
        <v>27</v>
      </c>
      <c r="E1015" s="13">
        <v>1</v>
      </c>
      <c r="F1015" s="14">
        <v>17611</v>
      </c>
      <c r="G1015" s="14">
        <v>17611</v>
      </c>
      <c r="H1015" s="13" t="s">
        <v>43</v>
      </c>
      <c r="I1015" s="13" t="s">
        <v>44</v>
      </c>
    </row>
    <row r="1016" spans="1:9" x14ac:dyDescent="0.3">
      <c r="A1016" s="12">
        <v>45904</v>
      </c>
      <c r="B1016" s="13" t="s">
        <v>20</v>
      </c>
      <c r="C1016" s="13" t="s">
        <v>25</v>
      </c>
      <c r="D1016" s="13" t="s">
        <v>24</v>
      </c>
      <c r="E1016" s="13">
        <v>1</v>
      </c>
      <c r="F1016" s="14">
        <v>52616</v>
      </c>
      <c r="G1016" s="14">
        <v>52616</v>
      </c>
      <c r="H1016" s="13" t="s">
        <v>43</v>
      </c>
      <c r="I1016" s="13" t="s">
        <v>44</v>
      </c>
    </row>
    <row r="1017" spans="1:9" x14ac:dyDescent="0.3">
      <c r="A1017" s="12">
        <v>45904</v>
      </c>
      <c r="B1017" s="13" t="s">
        <v>20</v>
      </c>
      <c r="C1017" s="13" t="s">
        <v>10</v>
      </c>
      <c r="D1017" s="13" t="s">
        <v>26</v>
      </c>
      <c r="E1017" s="13">
        <v>2</v>
      </c>
      <c r="F1017" s="14">
        <v>11422</v>
      </c>
      <c r="G1017" s="14">
        <v>22844</v>
      </c>
      <c r="H1017" s="13" t="s">
        <v>43</v>
      </c>
      <c r="I1017" s="13" t="s">
        <v>44</v>
      </c>
    </row>
    <row r="1018" spans="1:9" x14ac:dyDescent="0.3">
      <c r="A1018" s="12">
        <v>45904</v>
      </c>
      <c r="B1018" s="13" t="s">
        <v>23</v>
      </c>
      <c r="C1018" s="13" t="s">
        <v>15</v>
      </c>
      <c r="D1018" s="13" t="s">
        <v>18</v>
      </c>
      <c r="E1018" s="13">
        <v>9</v>
      </c>
      <c r="F1018" s="14">
        <v>23048</v>
      </c>
      <c r="G1018" s="14">
        <v>207432</v>
      </c>
      <c r="H1018" s="13" t="s">
        <v>43</v>
      </c>
      <c r="I1018" s="13" t="s">
        <v>44</v>
      </c>
    </row>
    <row r="1019" spans="1:9" x14ac:dyDescent="0.3">
      <c r="A1019" s="12">
        <v>45904</v>
      </c>
      <c r="B1019" s="13" t="s">
        <v>9</v>
      </c>
      <c r="C1019" s="13" t="s">
        <v>19</v>
      </c>
      <c r="D1019" s="13" t="s">
        <v>24</v>
      </c>
      <c r="E1019" s="13">
        <v>10</v>
      </c>
      <c r="F1019" s="14">
        <v>18056</v>
      </c>
      <c r="G1019" s="14">
        <v>180560</v>
      </c>
      <c r="H1019" s="13" t="s">
        <v>43</v>
      </c>
      <c r="I1019" s="13" t="s">
        <v>44</v>
      </c>
    </row>
    <row r="1020" spans="1:9" x14ac:dyDescent="0.3">
      <c r="A1020" s="12">
        <v>45904</v>
      </c>
      <c r="B1020" s="13" t="s">
        <v>17</v>
      </c>
      <c r="C1020" s="13" t="s">
        <v>15</v>
      </c>
      <c r="D1020" s="13" t="s">
        <v>24</v>
      </c>
      <c r="E1020" s="13">
        <v>9</v>
      </c>
      <c r="F1020" s="14">
        <v>22937</v>
      </c>
      <c r="G1020" s="14">
        <v>206433</v>
      </c>
      <c r="H1020" s="13" t="s">
        <v>43</v>
      </c>
      <c r="I1020" s="13" t="s">
        <v>44</v>
      </c>
    </row>
    <row r="1021" spans="1:9" x14ac:dyDescent="0.3">
      <c r="A1021" s="12">
        <v>45904</v>
      </c>
      <c r="B1021" s="13" t="s">
        <v>9</v>
      </c>
      <c r="C1021" s="13" t="s">
        <v>25</v>
      </c>
      <c r="D1021" s="13" t="s">
        <v>16</v>
      </c>
      <c r="E1021" s="13">
        <v>9</v>
      </c>
      <c r="F1021" s="14">
        <v>53927</v>
      </c>
      <c r="G1021" s="14">
        <v>485343</v>
      </c>
      <c r="H1021" s="13" t="s">
        <v>43</v>
      </c>
      <c r="I1021" s="13" t="s">
        <v>44</v>
      </c>
    </row>
    <row r="1022" spans="1:9" x14ac:dyDescent="0.3">
      <c r="A1022" s="12">
        <v>45905</v>
      </c>
      <c r="B1022" s="13" t="s">
        <v>23</v>
      </c>
      <c r="C1022" s="13" t="s">
        <v>10</v>
      </c>
      <c r="D1022" s="13" t="s">
        <v>27</v>
      </c>
      <c r="E1022" s="13">
        <v>1</v>
      </c>
      <c r="F1022" s="14">
        <v>11816</v>
      </c>
      <c r="G1022" s="14">
        <v>11816</v>
      </c>
      <c r="H1022" s="13" t="s">
        <v>43</v>
      </c>
      <c r="I1022" s="13" t="s">
        <v>44</v>
      </c>
    </row>
    <row r="1023" spans="1:9" x14ac:dyDescent="0.3">
      <c r="A1023" s="12">
        <v>45905</v>
      </c>
      <c r="B1023" s="13" t="s">
        <v>20</v>
      </c>
      <c r="C1023" s="13" t="s">
        <v>19</v>
      </c>
      <c r="D1023" s="13" t="s">
        <v>11</v>
      </c>
      <c r="E1023" s="13">
        <v>4</v>
      </c>
      <c r="F1023" s="14">
        <v>18892</v>
      </c>
      <c r="G1023" s="14">
        <v>75568</v>
      </c>
      <c r="H1023" s="13" t="s">
        <v>43</v>
      </c>
      <c r="I1023" s="13" t="s">
        <v>44</v>
      </c>
    </row>
    <row r="1024" spans="1:9" x14ac:dyDescent="0.3">
      <c r="A1024" s="12">
        <v>45905</v>
      </c>
      <c r="B1024" s="13" t="s">
        <v>20</v>
      </c>
      <c r="C1024" s="13" t="s">
        <v>25</v>
      </c>
      <c r="D1024" s="13" t="s">
        <v>11</v>
      </c>
      <c r="E1024" s="13">
        <v>7</v>
      </c>
      <c r="F1024" s="14">
        <v>57147</v>
      </c>
      <c r="G1024" s="14">
        <v>400029</v>
      </c>
      <c r="H1024" s="13" t="s">
        <v>43</v>
      </c>
      <c r="I1024" s="13" t="s">
        <v>44</v>
      </c>
    </row>
    <row r="1025" spans="1:9" x14ac:dyDescent="0.3">
      <c r="A1025" s="12">
        <v>45905</v>
      </c>
      <c r="B1025" s="13" t="s">
        <v>9</v>
      </c>
      <c r="C1025" s="13" t="s">
        <v>22</v>
      </c>
      <c r="D1025" s="13" t="s">
        <v>11</v>
      </c>
      <c r="E1025" s="13">
        <v>4</v>
      </c>
      <c r="F1025" s="14">
        <v>7721</v>
      </c>
      <c r="G1025" s="14">
        <v>30884</v>
      </c>
      <c r="H1025" s="13" t="s">
        <v>43</v>
      </c>
      <c r="I1025" s="13" t="s">
        <v>44</v>
      </c>
    </row>
    <row r="1026" spans="1:9" x14ac:dyDescent="0.3">
      <c r="A1026" s="12">
        <v>45905</v>
      </c>
      <c r="B1026" s="13" t="s">
        <v>23</v>
      </c>
      <c r="C1026" s="13" t="s">
        <v>10</v>
      </c>
      <c r="D1026" s="13" t="s">
        <v>27</v>
      </c>
      <c r="E1026" s="13">
        <v>2</v>
      </c>
      <c r="F1026" s="14">
        <v>12275</v>
      </c>
      <c r="G1026" s="14">
        <v>24550</v>
      </c>
      <c r="H1026" s="13" t="s">
        <v>43</v>
      </c>
      <c r="I1026" s="13" t="s">
        <v>44</v>
      </c>
    </row>
    <row r="1027" spans="1:9" x14ac:dyDescent="0.3">
      <c r="A1027" s="12">
        <v>45906</v>
      </c>
      <c r="B1027" s="13" t="s">
        <v>17</v>
      </c>
      <c r="C1027" s="13" t="s">
        <v>21</v>
      </c>
      <c r="D1027" s="13" t="s">
        <v>16</v>
      </c>
      <c r="E1027" s="13">
        <v>10</v>
      </c>
      <c r="F1027" s="14">
        <v>3378</v>
      </c>
      <c r="G1027" s="14">
        <v>33780</v>
      </c>
      <c r="H1027" s="13" t="s">
        <v>43</v>
      </c>
      <c r="I1027" s="13" t="s">
        <v>44</v>
      </c>
    </row>
    <row r="1028" spans="1:9" x14ac:dyDescent="0.3">
      <c r="A1028" s="12">
        <v>45906</v>
      </c>
      <c r="B1028" s="13" t="s">
        <v>20</v>
      </c>
      <c r="C1028" s="13" t="s">
        <v>22</v>
      </c>
      <c r="D1028" s="13" t="s">
        <v>26</v>
      </c>
      <c r="E1028" s="13">
        <v>8</v>
      </c>
      <c r="F1028" s="14">
        <v>8033</v>
      </c>
      <c r="G1028" s="14">
        <v>64264</v>
      </c>
      <c r="H1028" s="13" t="s">
        <v>43</v>
      </c>
      <c r="I1028" s="13" t="s">
        <v>44</v>
      </c>
    </row>
    <row r="1029" spans="1:9" x14ac:dyDescent="0.3">
      <c r="A1029" s="12">
        <v>45906</v>
      </c>
      <c r="B1029" s="13" t="s">
        <v>17</v>
      </c>
      <c r="C1029" s="13" t="s">
        <v>10</v>
      </c>
      <c r="D1029" s="13" t="s">
        <v>27</v>
      </c>
      <c r="E1029" s="13">
        <v>10</v>
      </c>
      <c r="F1029" s="14">
        <v>12049</v>
      </c>
      <c r="G1029" s="14">
        <v>120490</v>
      </c>
      <c r="H1029" s="13" t="s">
        <v>43</v>
      </c>
      <c r="I1029" s="13" t="s">
        <v>44</v>
      </c>
    </row>
    <row r="1030" spans="1:9" x14ac:dyDescent="0.3">
      <c r="A1030" s="12">
        <v>45906</v>
      </c>
      <c r="B1030" s="13" t="s">
        <v>17</v>
      </c>
      <c r="C1030" s="13" t="s">
        <v>15</v>
      </c>
      <c r="D1030" s="13" t="s">
        <v>11</v>
      </c>
      <c r="E1030" s="13">
        <v>9</v>
      </c>
      <c r="F1030" s="14">
        <v>22901</v>
      </c>
      <c r="G1030" s="14">
        <v>206109</v>
      </c>
      <c r="H1030" s="13" t="s">
        <v>43</v>
      </c>
      <c r="I1030" s="13" t="s">
        <v>44</v>
      </c>
    </row>
    <row r="1031" spans="1:9" x14ac:dyDescent="0.3">
      <c r="A1031" s="12">
        <v>45906</v>
      </c>
      <c r="B1031" s="13" t="s">
        <v>23</v>
      </c>
      <c r="C1031" s="13" t="s">
        <v>15</v>
      </c>
      <c r="D1031" s="13" t="s">
        <v>27</v>
      </c>
      <c r="E1031" s="13">
        <v>6</v>
      </c>
      <c r="F1031" s="14">
        <v>21049</v>
      </c>
      <c r="G1031" s="14">
        <v>126294</v>
      </c>
      <c r="H1031" s="13" t="s">
        <v>43</v>
      </c>
      <c r="I1031" s="13" t="s">
        <v>44</v>
      </c>
    </row>
    <row r="1032" spans="1:9" x14ac:dyDescent="0.3">
      <c r="A1032" s="12">
        <v>45906</v>
      </c>
      <c r="B1032" s="13" t="s">
        <v>9</v>
      </c>
      <c r="C1032" s="13" t="s">
        <v>15</v>
      </c>
      <c r="D1032" s="13" t="s">
        <v>26</v>
      </c>
      <c r="E1032" s="13">
        <v>3</v>
      </c>
      <c r="F1032" s="14">
        <v>22499</v>
      </c>
      <c r="G1032" s="14">
        <v>67497</v>
      </c>
      <c r="H1032" s="13" t="s">
        <v>43</v>
      </c>
      <c r="I1032" s="13" t="s">
        <v>44</v>
      </c>
    </row>
    <row r="1033" spans="1:9" x14ac:dyDescent="0.3">
      <c r="A1033" s="12">
        <v>45907</v>
      </c>
      <c r="B1033" s="13" t="s">
        <v>23</v>
      </c>
      <c r="C1033" s="13" t="s">
        <v>21</v>
      </c>
      <c r="D1033" s="13" t="s">
        <v>11</v>
      </c>
      <c r="E1033" s="13">
        <v>8</v>
      </c>
      <c r="F1033" s="14">
        <v>3585</v>
      </c>
      <c r="G1033" s="14">
        <v>28680</v>
      </c>
      <c r="H1033" s="13" t="s">
        <v>43</v>
      </c>
      <c r="I1033" s="13" t="s">
        <v>44</v>
      </c>
    </row>
    <row r="1034" spans="1:9" x14ac:dyDescent="0.3">
      <c r="A1034" s="12">
        <v>45907</v>
      </c>
      <c r="B1034" s="13" t="s">
        <v>20</v>
      </c>
      <c r="C1034" s="13" t="s">
        <v>15</v>
      </c>
      <c r="D1034" s="13" t="s">
        <v>16</v>
      </c>
      <c r="E1034" s="13">
        <v>2</v>
      </c>
      <c r="F1034" s="14">
        <v>21189</v>
      </c>
      <c r="G1034" s="14">
        <v>42378</v>
      </c>
      <c r="H1034" s="13" t="s">
        <v>43</v>
      </c>
      <c r="I1034" s="13" t="s">
        <v>44</v>
      </c>
    </row>
    <row r="1035" spans="1:9" x14ac:dyDescent="0.3">
      <c r="A1035" s="12">
        <v>45907</v>
      </c>
      <c r="B1035" s="13" t="s">
        <v>9</v>
      </c>
      <c r="C1035" s="13" t="s">
        <v>22</v>
      </c>
      <c r="D1035" s="13" t="s">
        <v>11</v>
      </c>
      <c r="E1035" s="13">
        <v>10</v>
      </c>
      <c r="F1035" s="14">
        <v>8053</v>
      </c>
      <c r="G1035" s="14">
        <v>80530</v>
      </c>
      <c r="H1035" s="13" t="s">
        <v>43</v>
      </c>
      <c r="I1035" s="13" t="s">
        <v>44</v>
      </c>
    </row>
    <row r="1036" spans="1:9" x14ac:dyDescent="0.3">
      <c r="A1036" s="12">
        <v>45907</v>
      </c>
      <c r="B1036" s="13" t="s">
        <v>17</v>
      </c>
      <c r="C1036" s="13" t="s">
        <v>22</v>
      </c>
      <c r="D1036" s="13" t="s">
        <v>16</v>
      </c>
      <c r="E1036" s="13">
        <v>4</v>
      </c>
      <c r="F1036" s="14">
        <v>8149</v>
      </c>
      <c r="G1036" s="14">
        <v>32596</v>
      </c>
      <c r="H1036" s="13" t="s">
        <v>43</v>
      </c>
      <c r="I1036" s="13" t="s">
        <v>44</v>
      </c>
    </row>
    <row r="1037" spans="1:9" x14ac:dyDescent="0.3">
      <c r="A1037" s="12">
        <v>45908</v>
      </c>
      <c r="B1037" s="13" t="s">
        <v>9</v>
      </c>
      <c r="C1037" s="13" t="s">
        <v>10</v>
      </c>
      <c r="D1037" s="13" t="s">
        <v>24</v>
      </c>
      <c r="E1037" s="13">
        <v>3</v>
      </c>
      <c r="F1037" s="14">
        <v>12002</v>
      </c>
      <c r="G1037" s="14">
        <v>36006</v>
      </c>
      <c r="H1037" s="13" t="s">
        <v>43</v>
      </c>
      <c r="I1037" s="13" t="s">
        <v>44</v>
      </c>
    </row>
    <row r="1038" spans="1:9" x14ac:dyDescent="0.3">
      <c r="A1038" s="12">
        <v>45908</v>
      </c>
      <c r="B1038" s="13" t="s">
        <v>23</v>
      </c>
      <c r="C1038" s="13" t="s">
        <v>10</v>
      </c>
      <c r="D1038" s="13" t="s">
        <v>26</v>
      </c>
      <c r="E1038" s="13">
        <v>3</v>
      </c>
      <c r="F1038" s="14">
        <v>12422</v>
      </c>
      <c r="G1038" s="14">
        <v>37266</v>
      </c>
      <c r="H1038" s="13" t="s">
        <v>43</v>
      </c>
      <c r="I1038" s="13" t="s">
        <v>44</v>
      </c>
    </row>
    <row r="1039" spans="1:9" x14ac:dyDescent="0.3">
      <c r="A1039" s="12">
        <v>45908</v>
      </c>
      <c r="B1039" s="13" t="s">
        <v>23</v>
      </c>
      <c r="C1039" s="13" t="s">
        <v>21</v>
      </c>
      <c r="D1039" s="13" t="s">
        <v>27</v>
      </c>
      <c r="E1039" s="13">
        <v>3</v>
      </c>
      <c r="F1039" s="14">
        <v>3392</v>
      </c>
      <c r="G1039" s="14">
        <v>10176</v>
      </c>
      <c r="H1039" s="13" t="s">
        <v>43</v>
      </c>
      <c r="I1039" s="13" t="s">
        <v>44</v>
      </c>
    </row>
    <row r="1040" spans="1:9" x14ac:dyDescent="0.3">
      <c r="A1040" s="12">
        <v>45908</v>
      </c>
      <c r="B1040" s="13" t="s">
        <v>9</v>
      </c>
      <c r="C1040" s="13" t="s">
        <v>21</v>
      </c>
      <c r="D1040" s="13" t="s">
        <v>28</v>
      </c>
      <c r="E1040" s="13">
        <v>5</v>
      </c>
      <c r="F1040" s="14">
        <v>3657</v>
      </c>
      <c r="G1040" s="14">
        <v>18285</v>
      </c>
      <c r="H1040" s="13" t="s">
        <v>43</v>
      </c>
      <c r="I1040" s="13" t="s">
        <v>44</v>
      </c>
    </row>
    <row r="1041" spans="1:9" x14ac:dyDescent="0.3">
      <c r="A1041" s="12">
        <v>45909</v>
      </c>
      <c r="B1041" s="13" t="s">
        <v>17</v>
      </c>
      <c r="C1041" s="13" t="s">
        <v>15</v>
      </c>
      <c r="D1041" s="13" t="s">
        <v>14</v>
      </c>
      <c r="E1041" s="13">
        <v>3</v>
      </c>
      <c r="F1041" s="14">
        <v>22939</v>
      </c>
      <c r="G1041" s="14">
        <v>68817</v>
      </c>
      <c r="H1041" s="13" t="s">
        <v>43</v>
      </c>
      <c r="I1041" s="13" t="s">
        <v>44</v>
      </c>
    </row>
    <row r="1042" spans="1:9" x14ac:dyDescent="0.3">
      <c r="A1042" s="12">
        <v>45909</v>
      </c>
      <c r="B1042" s="13" t="s">
        <v>23</v>
      </c>
      <c r="C1042" s="13" t="s">
        <v>22</v>
      </c>
      <c r="D1042" s="13" t="s">
        <v>24</v>
      </c>
      <c r="E1042" s="13">
        <v>6</v>
      </c>
      <c r="F1042" s="14">
        <v>8293</v>
      </c>
      <c r="G1042" s="14">
        <v>49758</v>
      </c>
      <c r="H1042" s="13" t="s">
        <v>43</v>
      </c>
      <c r="I1042" s="13" t="s">
        <v>44</v>
      </c>
    </row>
    <row r="1043" spans="1:9" x14ac:dyDescent="0.3">
      <c r="A1043" s="12">
        <v>45909</v>
      </c>
      <c r="B1043" s="13" t="s">
        <v>17</v>
      </c>
      <c r="C1043" s="13" t="s">
        <v>21</v>
      </c>
      <c r="D1043" s="13" t="s">
        <v>18</v>
      </c>
      <c r="E1043" s="13">
        <v>1</v>
      </c>
      <c r="F1043" s="14">
        <v>3537</v>
      </c>
      <c r="G1043" s="14">
        <v>3537</v>
      </c>
      <c r="H1043" s="13" t="s">
        <v>43</v>
      </c>
      <c r="I1043" s="13" t="s">
        <v>44</v>
      </c>
    </row>
    <row r="1044" spans="1:9" x14ac:dyDescent="0.3">
      <c r="A1044" s="12">
        <v>45910</v>
      </c>
      <c r="B1044" s="13" t="s">
        <v>20</v>
      </c>
      <c r="C1044" s="13" t="s">
        <v>21</v>
      </c>
      <c r="D1044" s="13" t="s">
        <v>28</v>
      </c>
      <c r="E1044" s="13">
        <v>9</v>
      </c>
      <c r="F1044" s="14">
        <v>3363</v>
      </c>
      <c r="G1044" s="14">
        <v>30267</v>
      </c>
      <c r="H1044" s="13" t="s">
        <v>43</v>
      </c>
      <c r="I1044" s="13" t="s">
        <v>44</v>
      </c>
    </row>
    <row r="1045" spans="1:9" x14ac:dyDescent="0.3">
      <c r="A1045" s="12">
        <v>45910</v>
      </c>
      <c r="B1045" s="13" t="s">
        <v>23</v>
      </c>
      <c r="C1045" s="13" t="s">
        <v>25</v>
      </c>
      <c r="D1045" s="13" t="s">
        <v>16</v>
      </c>
      <c r="E1045" s="13">
        <v>9</v>
      </c>
      <c r="F1045" s="14">
        <v>55208</v>
      </c>
      <c r="G1045" s="14">
        <v>496872</v>
      </c>
      <c r="H1045" s="13" t="s">
        <v>43</v>
      </c>
      <c r="I1045" s="13" t="s">
        <v>44</v>
      </c>
    </row>
    <row r="1046" spans="1:9" x14ac:dyDescent="0.3">
      <c r="A1046" s="12">
        <v>45910</v>
      </c>
      <c r="B1046" s="13" t="s">
        <v>9</v>
      </c>
      <c r="C1046" s="13" t="s">
        <v>22</v>
      </c>
      <c r="D1046" s="13" t="s">
        <v>18</v>
      </c>
      <c r="E1046" s="13">
        <v>9</v>
      </c>
      <c r="F1046" s="14">
        <v>8212</v>
      </c>
      <c r="G1046" s="14">
        <v>73908</v>
      </c>
      <c r="H1046" s="13" t="s">
        <v>43</v>
      </c>
      <c r="I1046" s="13" t="s">
        <v>44</v>
      </c>
    </row>
    <row r="1047" spans="1:9" x14ac:dyDescent="0.3">
      <c r="A1047" s="12">
        <v>45910</v>
      </c>
      <c r="B1047" s="13" t="s">
        <v>9</v>
      </c>
      <c r="C1047" s="13" t="s">
        <v>15</v>
      </c>
      <c r="D1047" s="13" t="s">
        <v>11</v>
      </c>
      <c r="E1047" s="13">
        <v>8</v>
      </c>
      <c r="F1047" s="14">
        <v>21775</v>
      </c>
      <c r="G1047" s="14">
        <v>174200</v>
      </c>
      <c r="H1047" s="13" t="s">
        <v>43</v>
      </c>
      <c r="I1047" s="13" t="s">
        <v>44</v>
      </c>
    </row>
    <row r="1048" spans="1:9" x14ac:dyDescent="0.3">
      <c r="A1048" s="12">
        <v>45910</v>
      </c>
      <c r="B1048" s="13" t="s">
        <v>20</v>
      </c>
      <c r="C1048" s="13" t="s">
        <v>19</v>
      </c>
      <c r="D1048" s="13" t="s">
        <v>24</v>
      </c>
      <c r="E1048" s="13">
        <v>3</v>
      </c>
      <c r="F1048" s="14">
        <v>17860</v>
      </c>
      <c r="G1048" s="14">
        <v>53580</v>
      </c>
      <c r="H1048" s="13" t="s">
        <v>43</v>
      </c>
      <c r="I1048" s="13" t="s">
        <v>44</v>
      </c>
    </row>
    <row r="1049" spans="1:9" x14ac:dyDescent="0.3">
      <c r="A1049" s="12">
        <v>45911</v>
      </c>
      <c r="B1049" s="13" t="s">
        <v>9</v>
      </c>
      <c r="C1049" s="13" t="s">
        <v>10</v>
      </c>
      <c r="D1049" s="13" t="s">
        <v>27</v>
      </c>
      <c r="E1049" s="13">
        <v>8</v>
      </c>
      <c r="F1049" s="14">
        <v>12395</v>
      </c>
      <c r="G1049" s="14">
        <v>99160</v>
      </c>
      <c r="H1049" s="13" t="s">
        <v>43</v>
      </c>
      <c r="I1049" s="13" t="s">
        <v>44</v>
      </c>
    </row>
    <row r="1050" spans="1:9" x14ac:dyDescent="0.3">
      <c r="A1050" s="12">
        <v>45911</v>
      </c>
      <c r="B1050" s="13" t="s">
        <v>23</v>
      </c>
      <c r="C1050" s="13" t="s">
        <v>25</v>
      </c>
      <c r="D1050" s="13" t="s">
        <v>14</v>
      </c>
      <c r="E1050" s="13">
        <v>3</v>
      </c>
      <c r="F1050" s="14">
        <v>56533</v>
      </c>
      <c r="G1050" s="14">
        <v>169599</v>
      </c>
      <c r="H1050" s="13" t="s">
        <v>43</v>
      </c>
      <c r="I1050" s="13" t="s">
        <v>44</v>
      </c>
    </row>
    <row r="1051" spans="1:9" x14ac:dyDescent="0.3">
      <c r="A1051" s="12">
        <v>45911</v>
      </c>
      <c r="B1051" s="13" t="s">
        <v>17</v>
      </c>
      <c r="C1051" s="13" t="s">
        <v>21</v>
      </c>
      <c r="D1051" s="13" t="s">
        <v>18</v>
      </c>
      <c r="E1051" s="13">
        <v>6</v>
      </c>
      <c r="F1051" s="14">
        <v>3482</v>
      </c>
      <c r="G1051" s="14">
        <v>20892</v>
      </c>
      <c r="H1051" s="13" t="s">
        <v>43</v>
      </c>
      <c r="I1051" s="13" t="s">
        <v>44</v>
      </c>
    </row>
    <row r="1052" spans="1:9" x14ac:dyDescent="0.3">
      <c r="A1052" s="12">
        <v>45911</v>
      </c>
      <c r="B1052" s="13" t="s">
        <v>17</v>
      </c>
      <c r="C1052" s="13" t="s">
        <v>21</v>
      </c>
      <c r="D1052" s="13" t="s">
        <v>16</v>
      </c>
      <c r="E1052" s="13">
        <v>8</v>
      </c>
      <c r="F1052" s="14">
        <v>3356</v>
      </c>
      <c r="G1052" s="14">
        <v>26848</v>
      </c>
      <c r="H1052" s="13" t="s">
        <v>43</v>
      </c>
      <c r="I1052" s="13" t="s">
        <v>44</v>
      </c>
    </row>
    <row r="1053" spans="1:9" x14ac:dyDescent="0.3">
      <c r="A1053" s="12">
        <v>45911</v>
      </c>
      <c r="B1053" s="13" t="s">
        <v>20</v>
      </c>
      <c r="C1053" s="13" t="s">
        <v>10</v>
      </c>
      <c r="D1053" s="13" t="s">
        <v>27</v>
      </c>
      <c r="E1053" s="13">
        <v>2</v>
      </c>
      <c r="F1053" s="14">
        <v>11509</v>
      </c>
      <c r="G1053" s="14">
        <v>23018</v>
      </c>
      <c r="H1053" s="13" t="s">
        <v>43</v>
      </c>
      <c r="I1053" s="13" t="s">
        <v>44</v>
      </c>
    </row>
    <row r="1054" spans="1:9" x14ac:dyDescent="0.3">
      <c r="A1054" s="12">
        <v>45911</v>
      </c>
      <c r="B1054" s="13" t="s">
        <v>23</v>
      </c>
      <c r="C1054" s="13" t="s">
        <v>10</v>
      </c>
      <c r="D1054" s="13" t="s">
        <v>26</v>
      </c>
      <c r="E1054" s="13">
        <v>2</v>
      </c>
      <c r="F1054" s="14">
        <v>12028</v>
      </c>
      <c r="G1054" s="14">
        <v>24056</v>
      </c>
      <c r="H1054" s="13" t="s">
        <v>43</v>
      </c>
      <c r="I1054" s="13" t="s">
        <v>44</v>
      </c>
    </row>
    <row r="1055" spans="1:9" x14ac:dyDescent="0.3">
      <c r="A1055" s="12">
        <v>45912</v>
      </c>
      <c r="B1055" s="13" t="s">
        <v>17</v>
      </c>
      <c r="C1055" s="13" t="s">
        <v>21</v>
      </c>
      <c r="D1055" s="13" t="s">
        <v>18</v>
      </c>
      <c r="E1055" s="13">
        <v>1</v>
      </c>
      <c r="F1055" s="14">
        <v>3593</v>
      </c>
      <c r="G1055" s="14">
        <v>3593</v>
      </c>
      <c r="H1055" s="13" t="s">
        <v>43</v>
      </c>
      <c r="I1055" s="13" t="s">
        <v>44</v>
      </c>
    </row>
    <row r="1056" spans="1:9" x14ac:dyDescent="0.3">
      <c r="A1056" s="12">
        <v>45912</v>
      </c>
      <c r="B1056" s="13" t="s">
        <v>20</v>
      </c>
      <c r="C1056" s="13" t="s">
        <v>22</v>
      </c>
      <c r="D1056" s="13" t="s">
        <v>27</v>
      </c>
      <c r="E1056" s="13">
        <v>3</v>
      </c>
      <c r="F1056" s="14">
        <v>8295</v>
      </c>
      <c r="G1056" s="14">
        <v>24885</v>
      </c>
      <c r="H1056" s="13" t="s">
        <v>43</v>
      </c>
      <c r="I1056" s="13" t="s">
        <v>44</v>
      </c>
    </row>
    <row r="1057" spans="1:9" x14ac:dyDescent="0.3">
      <c r="A1057" s="12">
        <v>45912</v>
      </c>
      <c r="B1057" s="13" t="s">
        <v>17</v>
      </c>
      <c r="C1057" s="13" t="s">
        <v>10</v>
      </c>
      <c r="D1057" s="13" t="s">
        <v>28</v>
      </c>
      <c r="E1057" s="13">
        <v>7</v>
      </c>
      <c r="F1057" s="14">
        <v>11769</v>
      </c>
      <c r="G1057" s="14">
        <v>82383</v>
      </c>
      <c r="H1057" s="13" t="s">
        <v>43</v>
      </c>
      <c r="I1057" s="13" t="s">
        <v>44</v>
      </c>
    </row>
    <row r="1058" spans="1:9" x14ac:dyDescent="0.3">
      <c r="A1058" s="12">
        <v>45912</v>
      </c>
      <c r="B1058" s="13" t="s">
        <v>23</v>
      </c>
      <c r="C1058" s="13" t="s">
        <v>19</v>
      </c>
      <c r="D1058" s="13" t="s">
        <v>27</v>
      </c>
      <c r="E1058" s="13">
        <v>2</v>
      </c>
      <c r="F1058" s="14">
        <v>18717</v>
      </c>
      <c r="G1058" s="14">
        <v>37434</v>
      </c>
      <c r="H1058" s="13" t="s">
        <v>43</v>
      </c>
      <c r="I1058" s="13" t="s">
        <v>44</v>
      </c>
    </row>
    <row r="1059" spans="1:9" x14ac:dyDescent="0.3">
      <c r="A1059" s="12">
        <v>45912</v>
      </c>
      <c r="B1059" s="13" t="s">
        <v>17</v>
      </c>
      <c r="C1059" s="13" t="s">
        <v>25</v>
      </c>
      <c r="D1059" s="13" t="s">
        <v>11</v>
      </c>
      <c r="E1059" s="13">
        <v>1</v>
      </c>
      <c r="F1059" s="14">
        <v>54772</v>
      </c>
      <c r="G1059" s="14">
        <v>54772</v>
      </c>
      <c r="H1059" s="13" t="s">
        <v>43</v>
      </c>
      <c r="I1059" s="13" t="s">
        <v>44</v>
      </c>
    </row>
    <row r="1060" spans="1:9" x14ac:dyDescent="0.3">
      <c r="A1060" s="12">
        <v>45913</v>
      </c>
      <c r="B1060" s="13" t="s">
        <v>9</v>
      </c>
      <c r="C1060" s="13" t="s">
        <v>22</v>
      </c>
      <c r="D1060" s="13" t="s">
        <v>24</v>
      </c>
      <c r="E1060" s="13">
        <v>4</v>
      </c>
      <c r="F1060" s="14">
        <v>7773</v>
      </c>
      <c r="G1060" s="14">
        <v>31092</v>
      </c>
      <c r="H1060" s="13" t="s">
        <v>43</v>
      </c>
      <c r="I1060" s="13" t="s">
        <v>44</v>
      </c>
    </row>
    <row r="1061" spans="1:9" x14ac:dyDescent="0.3">
      <c r="A1061" s="12">
        <v>45913</v>
      </c>
      <c r="B1061" s="13" t="s">
        <v>23</v>
      </c>
      <c r="C1061" s="13" t="s">
        <v>21</v>
      </c>
      <c r="D1061" s="13" t="s">
        <v>18</v>
      </c>
      <c r="E1061" s="13">
        <v>8</v>
      </c>
      <c r="F1061" s="14">
        <v>3352</v>
      </c>
      <c r="G1061" s="14">
        <v>26816</v>
      </c>
      <c r="H1061" s="13" t="s">
        <v>43</v>
      </c>
      <c r="I1061" s="13" t="s">
        <v>44</v>
      </c>
    </row>
    <row r="1062" spans="1:9" x14ac:dyDescent="0.3">
      <c r="A1062" s="12">
        <v>45913</v>
      </c>
      <c r="B1062" s="13" t="s">
        <v>9</v>
      </c>
      <c r="C1062" s="13" t="s">
        <v>15</v>
      </c>
      <c r="D1062" s="13" t="s">
        <v>11</v>
      </c>
      <c r="E1062" s="13">
        <v>10</v>
      </c>
      <c r="F1062" s="14">
        <v>22282</v>
      </c>
      <c r="G1062" s="14">
        <v>222820</v>
      </c>
      <c r="H1062" s="13" t="s">
        <v>43</v>
      </c>
      <c r="I1062" s="13" t="s">
        <v>44</v>
      </c>
    </row>
    <row r="1063" spans="1:9" x14ac:dyDescent="0.3">
      <c r="A1063" s="12">
        <v>45913</v>
      </c>
      <c r="B1063" s="13" t="s">
        <v>17</v>
      </c>
      <c r="C1063" s="13" t="s">
        <v>25</v>
      </c>
      <c r="D1063" s="13" t="s">
        <v>27</v>
      </c>
      <c r="E1063" s="13">
        <v>3</v>
      </c>
      <c r="F1063" s="14">
        <v>52552</v>
      </c>
      <c r="G1063" s="14">
        <v>157656</v>
      </c>
      <c r="H1063" s="13" t="s">
        <v>43</v>
      </c>
      <c r="I1063" s="13" t="s">
        <v>44</v>
      </c>
    </row>
    <row r="1064" spans="1:9" x14ac:dyDescent="0.3">
      <c r="A1064" s="12">
        <v>45913</v>
      </c>
      <c r="B1064" s="13" t="s">
        <v>20</v>
      </c>
      <c r="C1064" s="13" t="s">
        <v>25</v>
      </c>
      <c r="D1064" s="13" t="s">
        <v>27</v>
      </c>
      <c r="E1064" s="13">
        <v>1</v>
      </c>
      <c r="F1064" s="14">
        <v>55918</v>
      </c>
      <c r="G1064" s="14">
        <v>55918</v>
      </c>
      <c r="H1064" s="13" t="s">
        <v>43</v>
      </c>
      <c r="I1064" s="13" t="s">
        <v>44</v>
      </c>
    </row>
    <row r="1065" spans="1:9" x14ac:dyDescent="0.3">
      <c r="A1065" s="12">
        <v>45914</v>
      </c>
      <c r="B1065" s="13" t="s">
        <v>20</v>
      </c>
      <c r="C1065" s="13" t="s">
        <v>19</v>
      </c>
      <c r="D1065" s="13" t="s">
        <v>14</v>
      </c>
      <c r="E1065" s="13">
        <v>1</v>
      </c>
      <c r="F1065" s="14">
        <v>17295</v>
      </c>
      <c r="G1065" s="14">
        <v>17295</v>
      </c>
      <c r="H1065" s="13" t="s">
        <v>43</v>
      </c>
      <c r="I1065" s="13" t="s">
        <v>44</v>
      </c>
    </row>
    <row r="1066" spans="1:9" x14ac:dyDescent="0.3">
      <c r="A1066" s="12">
        <v>45914</v>
      </c>
      <c r="B1066" s="13" t="s">
        <v>17</v>
      </c>
      <c r="C1066" s="13" t="s">
        <v>15</v>
      </c>
      <c r="D1066" s="13" t="s">
        <v>11</v>
      </c>
      <c r="E1066" s="13">
        <v>10</v>
      </c>
      <c r="F1066" s="14">
        <v>22354</v>
      </c>
      <c r="G1066" s="14">
        <v>223540</v>
      </c>
      <c r="H1066" s="13" t="s">
        <v>43</v>
      </c>
      <c r="I1066" s="13" t="s">
        <v>44</v>
      </c>
    </row>
    <row r="1067" spans="1:9" x14ac:dyDescent="0.3">
      <c r="A1067" s="12">
        <v>45914</v>
      </c>
      <c r="B1067" s="13" t="s">
        <v>17</v>
      </c>
      <c r="C1067" s="13" t="s">
        <v>21</v>
      </c>
      <c r="D1067" s="13" t="s">
        <v>26</v>
      </c>
      <c r="E1067" s="13">
        <v>1</v>
      </c>
      <c r="F1067" s="14">
        <v>3357</v>
      </c>
      <c r="G1067" s="14">
        <v>3357</v>
      </c>
      <c r="H1067" s="13" t="s">
        <v>43</v>
      </c>
      <c r="I1067" s="13" t="s">
        <v>44</v>
      </c>
    </row>
    <row r="1068" spans="1:9" x14ac:dyDescent="0.3">
      <c r="A1068" s="12">
        <v>45914</v>
      </c>
      <c r="B1068" s="13" t="s">
        <v>20</v>
      </c>
      <c r="C1068" s="13" t="s">
        <v>19</v>
      </c>
      <c r="D1068" s="13" t="s">
        <v>26</v>
      </c>
      <c r="E1068" s="13">
        <v>7</v>
      </c>
      <c r="F1068" s="14">
        <v>18576</v>
      </c>
      <c r="G1068" s="14">
        <v>130032</v>
      </c>
      <c r="H1068" s="13" t="s">
        <v>43</v>
      </c>
      <c r="I1068" s="13" t="s">
        <v>44</v>
      </c>
    </row>
    <row r="1069" spans="1:9" x14ac:dyDescent="0.3">
      <c r="A1069" s="12">
        <v>45914</v>
      </c>
      <c r="B1069" s="13" t="s">
        <v>23</v>
      </c>
      <c r="C1069" s="13" t="s">
        <v>22</v>
      </c>
      <c r="D1069" s="13" t="s">
        <v>14</v>
      </c>
      <c r="E1069" s="13">
        <v>5</v>
      </c>
      <c r="F1069" s="14">
        <v>7976</v>
      </c>
      <c r="G1069" s="14">
        <v>39880</v>
      </c>
      <c r="H1069" s="13" t="s">
        <v>43</v>
      </c>
      <c r="I1069" s="13" t="s">
        <v>44</v>
      </c>
    </row>
    <row r="1070" spans="1:9" x14ac:dyDescent="0.3">
      <c r="A1070" s="12">
        <v>45914</v>
      </c>
      <c r="B1070" s="13" t="s">
        <v>9</v>
      </c>
      <c r="C1070" s="13" t="s">
        <v>10</v>
      </c>
      <c r="D1070" s="13" t="s">
        <v>11</v>
      </c>
      <c r="E1070" s="13">
        <v>6</v>
      </c>
      <c r="F1070" s="14">
        <v>12032</v>
      </c>
      <c r="G1070" s="14">
        <v>72192</v>
      </c>
      <c r="H1070" s="13" t="s">
        <v>43</v>
      </c>
      <c r="I1070" s="13" t="s">
        <v>44</v>
      </c>
    </row>
    <row r="1071" spans="1:9" x14ac:dyDescent="0.3">
      <c r="A1071" s="12">
        <v>45915</v>
      </c>
      <c r="B1071" s="13" t="s">
        <v>17</v>
      </c>
      <c r="C1071" s="13" t="s">
        <v>10</v>
      </c>
      <c r="D1071" s="13" t="s">
        <v>16</v>
      </c>
      <c r="E1071" s="13">
        <v>10</v>
      </c>
      <c r="F1071" s="14">
        <v>11469</v>
      </c>
      <c r="G1071" s="14">
        <v>114690</v>
      </c>
      <c r="H1071" s="13" t="s">
        <v>43</v>
      </c>
      <c r="I1071" s="13" t="s">
        <v>44</v>
      </c>
    </row>
    <row r="1072" spans="1:9" x14ac:dyDescent="0.3">
      <c r="A1072" s="12">
        <v>45915</v>
      </c>
      <c r="B1072" s="13" t="s">
        <v>9</v>
      </c>
      <c r="C1072" s="13" t="s">
        <v>21</v>
      </c>
      <c r="D1072" s="13" t="s">
        <v>11</v>
      </c>
      <c r="E1072" s="13">
        <v>7</v>
      </c>
      <c r="F1072" s="14">
        <v>3538</v>
      </c>
      <c r="G1072" s="14">
        <v>24766</v>
      </c>
      <c r="H1072" s="13" t="s">
        <v>43</v>
      </c>
      <c r="I1072" s="13" t="s">
        <v>44</v>
      </c>
    </row>
    <row r="1073" spans="1:9" x14ac:dyDescent="0.3">
      <c r="A1073" s="12">
        <v>45915</v>
      </c>
      <c r="B1073" s="13" t="s">
        <v>20</v>
      </c>
      <c r="C1073" s="13" t="s">
        <v>19</v>
      </c>
      <c r="D1073" s="13" t="s">
        <v>26</v>
      </c>
      <c r="E1073" s="13">
        <v>3</v>
      </c>
      <c r="F1073" s="14">
        <v>18205</v>
      </c>
      <c r="G1073" s="14">
        <v>54615</v>
      </c>
      <c r="H1073" s="13" t="s">
        <v>43</v>
      </c>
      <c r="I1073" s="13" t="s">
        <v>44</v>
      </c>
    </row>
    <row r="1074" spans="1:9" x14ac:dyDescent="0.3">
      <c r="A1074" s="12">
        <v>45915</v>
      </c>
      <c r="B1074" s="13" t="s">
        <v>23</v>
      </c>
      <c r="C1074" s="13" t="s">
        <v>22</v>
      </c>
      <c r="D1074" s="13" t="s">
        <v>24</v>
      </c>
      <c r="E1074" s="13">
        <v>8</v>
      </c>
      <c r="F1074" s="14">
        <v>8246</v>
      </c>
      <c r="G1074" s="14">
        <v>65968</v>
      </c>
      <c r="H1074" s="13" t="s">
        <v>43</v>
      </c>
      <c r="I1074" s="13" t="s">
        <v>44</v>
      </c>
    </row>
    <row r="1075" spans="1:9" x14ac:dyDescent="0.3">
      <c r="A1075" s="12">
        <v>45915</v>
      </c>
      <c r="B1075" s="13" t="s">
        <v>17</v>
      </c>
      <c r="C1075" s="13" t="s">
        <v>10</v>
      </c>
      <c r="D1075" s="13" t="s">
        <v>11</v>
      </c>
      <c r="E1075" s="13">
        <v>4</v>
      </c>
      <c r="F1075" s="14">
        <v>11401</v>
      </c>
      <c r="G1075" s="14">
        <v>45604</v>
      </c>
      <c r="H1075" s="13" t="s">
        <v>43</v>
      </c>
      <c r="I1075" s="13" t="s">
        <v>44</v>
      </c>
    </row>
    <row r="1076" spans="1:9" x14ac:dyDescent="0.3">
      <c r="A1076" s="12">
        <v>45915</v>
      </c>
      <c r="B1076" s="13" t="s">
        <v>9</v>
      </c>
      <c r="C1076" s="13" t="s">
        <v>21</v>
      </c>
      <c r="D1076" s="13" t="s">
        <v>14</v>
      </c>
      <c r="E1076" s="13">
        <v>4</v>
      </c>
      <c r="F1076" s="14">
        <v>3604</v>
      </c>
      <c r="G1076" s="14">
        <v>14416</v>
      </c>
      <c r="H1076" s="13" t="s">
        <v>43</v>
      </c>
      <c r="I1076" s="13" t="s">
        <v>44</v>
      </c>
    </row>
    <row r="1077" spans="1:9" x14ac:dyDescent="0.3">
      <c r="A1077" s="12">
        <v>45916</v>
      </c>
      <c r="B1077" s="13" t="s">
        <v>23</v>
      </c>
      <c r="C1077" s="13" t="s">
        <v>25</v>
      </c>
      <c r="D1077" s="13" t="s">
        <v>26</v>
      </c>
      <c r="E1077" s="13">
        <v>6</v>
      </c>
      <c r="F1077" s="14">
        <v>55332</v>
      </c>
      <c r="G1077" s="14">
        <v>331992</v>
      </c>
      <c r="H1077" s="13" t="s">
        <v>43</v>
      </c>
      <c r="I1077" s="13" t="s">
        <v>44</v>
      </c>
    </row>
    <row r="1078" spans="1:9" x14ac:dyDescent="0.3">
      <c r="A1078" s="12">
        <v>45916</v>
      </c>
      <c r="B1078" s="13" t="s">
        <v>17</v>
      </c>
      <c r="C1078" s="13" t="s">
        <v>25</v>
      </c>
      <c r="D1078" s="13" t="s">
        <v>16</v>
      </c>
      <c r="E1078" s="13">
        <v>5</v>
      </c>
      <c r="F1078" s="14">
        <v>53649</v>
      </c>
      <c r="G1078" s="14">
        <v>268245</v>
      </c>
      <c r="H1078" s="13" t="s">
        <v>43</v>
      </c>
      <c r="I1078" s="13" t="s">
        <v>44</v>
      </c>
    </row>
    <row r="1079" spans="1:9" x14ac:dyDescent="0.3">
      <c r="A1079" s="12">
        <v>45916</v>
      </c>
      <c r="B1079" s="13" t="s">
        <v>9</v>
      </c>
      <c r="C1079" s="13" t="s">
        <v>19</v>
      </c>
      <c r="D1079" s="13" t="s">
        <v>11</v>
      </c>
      <c r="E1079" s="13">
        <v>9</v>
      </c>
      <c r="F1079" s="14">
        <v>18089</v>
      </c>
      <c r="G1079" s="14">
        <v>162801</v>
      </c>
      <c r="H1079" s="13" t="s">
        <v>43</v>
      </c>
      <c r="I1079" s="13" t="s">
        <v>44</v>
      </c>
    </row>
    <row r="1080" spans="1:9" x14ac:dyDescent="0.3">
      <c r="A1080" s="12">
        <v>45916</v>
      </c>
      <c r="B1080" s="13" t="s">
        <v>9</v>
      </c>
      <c r="C1080" s="13" t="s">
        <v>25</v>
      </c>
      <c r="D1080" s="13" t="s">
        <v>26</v>
      </c>
      <c r="E1080" s="13">
        <v>6</v>
      </c>
      <c r="F1080" s="14">
        <v>54428</v>
      </c>
      <c r="G1080" s="14">
        <v>326568</v>
      </c>
      <c r="H1080" s="13" t="s">
        <v>43</v>
      </c>
      <c r="I1080" s="13" t="s">
        <v>44</v>
      </c>
    </row>
    <row r="1081" spans="1:9" x14ac:dyDescent="0.3">
      <c r="A1081" s="12">
        <v>45916</v>
      </c>
      <c r="B1081" s="13" t="s">
        <v>9</v>
      </c>
      <c r="C1081" s="13" t="s">
        <v>15</v>
      </c>
      <c r="D1081" s="13" t="s">
        <v>16</v>
      </c>
      <c r="E1081" s="13">
        <v>6</v>
      </c>
      <c r="F1081" s="14">
        <v>22734</v>
      </c>
      <c r="G1081" s="14">
        <v>136404</v>
      </c>
      <c r="H1081" s="13" t="s">
        <v>43</v>
      </c>
      <c r="I1081" s="13" t="s">
        <v>44</v>
      </c>
    </row>
    <row r="1082" spans="1:9" x14ac:dyDescent="0.3">
      <c r="A1082" s="12">
        <v>45917</v>
      </c>
      <c r="B1082" s="13" t="s">
        <v>23</v>
      </c>
      <c r="C1082" s="13" t="s">
        <v>25</v>
      </c>
      <c r="D1082" s="13" t="s">
        <v>27</v>
      </c>
      <c r="E1082" s="13">
        <v>8</v>
      </c>
      <c r="F1082" s="14">
        <v>53104</v>
      </c>
      <c r="G1082" s="14">
        <v>424832</v>
      </c>
      <c r="H1082" s="13" t="s">
        <v>43</v>
      </c>
      <c r="I1082" s="13" t="s">
        <v>44</v>
      </c>
    </row>
    <row r="1083" spans="1:9" x14ac:dyDescent="0.3">
      <c r="A1083" s="12">
        <v>45917</v>
      </c>
      <c r="B1083" s="13" t="s">
        <v>23</v>
      </c>
      <c r="C1083" s="13" t="s">
        <v>22</v>
      </c>
      <c r="D1083" s="13" t="s">
        <v>26</v>
      </c>
      <c r="E1083" s="13">
        <v>8</v>
      </c>
      <c r="F1083" s="14">
        <v>8227</v>
      </c>
      <c r="G1083" s="14">
        <v>65816</v>
      </c>
      <c r="H1083" s="13" t="s">
        <v>43</v>
      </c>
      <c r="I1083" s="13" t="s">
        <v>44</v>
      </c>
    </row>
    <row r="1084" spans="1:9" x14ac:dyDescent="0.3">
      <c r="A1084" s="12">
        <v>45917</v>
      </c>
      <c r="B1084" s="13" t="s">
        <v>23</v>
      </c>
      <c r="C1084" s="13" t="s">
        <v>10</v>
      </c>
      <c r="D1084" s="13" t="s">
        <v>28</v>
      </c>
      <c r="E1084" s="13">
        <v>9</v>
      </c>
      <c r="F1084" s="14">
        <v>11759</v>
      </c>
      <c r="G1084" s="14">
        <v>105831</v>
      </c>
      <c r="H1084" s="13" t="s">
        <v>43</v>
      </c>
      <c r="I1084" s="13" t="s">
        <v>44</v>
      </c>
    </row>
    <row r="1085" spans="1:9" x14ac:dyDescent="0.3">
      <c r="A1085" s="12">
        <v>45917</v>
      </c>
      <c r="B1085" s="13" t="s">
        <v>20</v>
      </c>
      <c r="C1085" s="13" t="s">
        <v>22</v>
      </c>
      <c r="D1085" s="13" t="s">
        <v>28</v>
      </c>
      <c r="E1085" s="13">
        <v>4</v>
      </c>
      <c r="F1085" s="14">
        <v>8061</v>
      </c>
      <c r="G1085" s="14">
        <v>32244</v>
      </c>
      <c r="H1085" s="13" t="s">
        <v>43</v>
      </c>
      <c r="I1085" s="13" t="s">
        <v>44</v>
      </c>
    </row>
    <row r="1086" spans="1:9" x14ac:dyDescent="0.3">
      <c r="A1086" s="12">
        <v>45917</v>
      </c>
      <c r="B1086" s="13" t="s">
        <v>20</v>
      </c>
      <c r="C1086" s="13" t="s">
        <v>19</v>
      </c>
      <c r="D1086" s="13" t="s">
        <v>14</v>
      </c>
      <c r="E1086" s="13">
        <v>3</v>
      </c>
      <c r="F1086" s="14">
        <v>17604</v>
      </c>
      <c r="G1086" s="14">
        <v>52812</v>
      </c>
      <c r="H1086" s="13" t="s">
        <v>43</v>
      </c>
      <c r="I1086" s="13" t="s">
        <v>44</v>
      </c>
    </row>
    <row r="1087" spans="1:9" x14ac:dyDescent="0.3">
      <c r="A1087" s="12">
        <v>45918</v>
      </c>
      <c r="B1087" s="13" t="s">
        <v>20</v>
      </c>
      <c r="C1087" s="13" t="s">
        <v>21</v>
      </c>
      <c r="D1087" s="13" t="s">
        <v>27</v>
      </c>
      <c r="E1087" s="13">
        <v>10</v>
      </c>
      <c r="F1087" s="14">
        <v>3536</v>
      </c>
      <c r="G1087" s="14">
        <v>35360</v>
      </c>
      <c r="H1087" s="13" t="s">
        <v>43</v>
      </c>
      <c r="I1087" s="13" t="s">
        <v>44</v>
      </c>
    </row>
    <row r="1088" spans="1:9" x14ac:dyDescent="0.3">
      <c r="A1088" s="12">
        <v>45918</v>
      </c>
      <c r="B1088" s="13" t="s">
        <v>17</v>
      </c>
      <c r="C1088" s="13" t="s">
        <v>22</v>
      </c>
      <c r="D1088" s="13" t="s">
        <v>14</v>
      </c>
      <c r="E1088" s="13">
        <v>5</v>
      </c>
      <c r="F1088" s="14">
        <v>8164</v>
      </c>
      <c r="G1088" s="14">
        <v>40820</v>
      </c>
      <c r="H1088" s="13" t="s">
        <v>43</v>
      </c>
      <c r="I1088" s="13" t="s">
        <v>44</v>
      </c>
    </row>
    <row r="1089" spans="1:9" x14ac:dyDescent="0.3">
      <c r="A1089" s="12">
        <v>45919</v>
      </c>
      <c r="B1089" s="13" t="s">
        <v>9</v>
      </c>
      <c r="C1089" s="13" t="s">
        <v>19</v>
      </c>
      <c r="D1089" s="13" t="s">
        <v>18</v>
      </c>
      <c r="E1089" s="13">
        <v>2</v>
      </c>
      <c r="F1089" s="14">
        <v>17994</v>
      </c>
      <c r="G1089" s="14">
        <v>35988</v>
      </c>
      <c r="H1089" s="13" t="s">
        <v>43</v>
      </c>
      <c r="I1089" s="13" t="s">
        <v>44</v>
      </c>
    </row>
    <row r="1090" spans="1:9" x14ac:dyDescent="0.3">
      <c r="A1090" s="12">
        <v>45919</v>
      </c>
      <c r="B1090" s="13" t="s">
        <v>17</v>
      </c>
      <c r="C1090" s="13" t="s">
        <v>19</v>
      </c>
      <c r="D1090" s="13" t="s">
        <v>24</v>
      </c>
      <c r="E1090" s="13">
        <v>5</v>
      </c>
      <c r="F1090" s="14">
        <v>17489</v>
      </c>
      <c r="G1090" s="14">
        <v>87445</v>
      </c>
      <c r="H1090" s="13" t="s">
        <v>43</v>
      </c>
      <c r="I1090" s="13" t="s">
        <v>44</v>
      </c>
    </row>
    <row r="1091" spans="1:9" x14ac:dyDescent="0.3">
      <c r="A1091" s="12">
        <v>45919</v>
      </c>
      <c r="B1091" s="13" t="s">
        <v>20</v>
      </c>
      <c r="C1091" s="13" t="s">
        <v>15</v>
      </c>
      <c r="D1091" s="13" t="s">
        <v>14</v>
      </c>
      <c r="E1091" s="13">
        <v>6</v>
      </c>
      <c r="F1091" s="14">
        <v>22626</v>
      </c>
      <c r="G1091" s="14">
        <v>135756</v>
      </c>
      <c r="H1091" s="13" t="s">
        <v>43</v>
      </c>
      <c r="I1091" s="13" t="s">
        <v>44</v>
      </c>
    </row>
    <row r="1092" spans="1:9" x14ac:dyDescent="0.3">
      <c r="A1092" s="12">
        <v>45919</v>
      </c>
      <c r="B1092" s="13" t="s">
        <v>17</v>
      </c>
      <c r="C1092" s="13" t="s">
        <v>25</v>
      </c>
      <c r="D1092" s="13" t="s">
        <v>24</v>
      </c>
      <c r="E1092" s="13">
        <v>9</v>
      </c>
      <c r="F1092" s="14">
        <v>52387</v>
      </c>
      <c r="G1092" s="14">
        <v>471483</v>
      </c>
      <c r="H1092" s="13" t="s">
        <v>43</v>
      </c>
      <c r="I1092" s="13" t="s">
        <v>44</v>
      </c>
    </row>
    <row r="1093" spans="1:9" x14ac:dyDescent="0.3">
      <c r="A1093" s="12">
        <v>45920</v>
      </c>
      <c r="B1093" s="13" t="s">
        <v>17</v>
      </c>
      <c r="C1093" s="13" t="s">
        <v>15</v>
      </c>
      <c r="D1093" s="13" t="s">
        <v>26</v>
      </c>
      <c r="E1093" s="13">
        <v>8</v>
      </c>
      <c r="F1093" s="14">
        <v>22511</v>
      </c>
      <c r="G1093" s="14">
        <v>180088</v>
      </c>
      <c r="H1093" s="13" t="s">
        <v>43</v>
      </c>
      <c r="I1093" s="13" t="s">
        <v>44</v>
      </c>
    </row>
    <row r="1094" spans="1:9" x14ac:dyDescent="0.3">
      <c r="A1094" s="12">
        <v>45920</v>
      </c>
      <c r="B1094" s="13" t="s">
        <v>20</v>
      </c>
      <c r="C1094" s="13" t="s">
        <v>19</v>
      </c>
      <c r="D1094" s="13" t="s">
        <v>27</v>
      </c>
      <c r="E1094" s="13">
        <v>2</v>
      </c>
      <c r="F1094" s="14">
        <v>18579</v>
      </c>
      <c r="G1094" s="14">
        <v>37158</v>
      </c>
      <c r="H1094" s="13" t="s">
        <v>43</v>
      </c>
      <c r="I1094" s="13" t="s">
        <v>44</v>
      </c>
    </row>
    <row r="1095" spans="1:9" x14ac:dyDescent="0.3">
      <c r="A1095" s="12">
        <v>45920</v>
      </c>
      <c r="B1095" s="13" t="s">
        <v>17</v>
      </c>
      <c r="C1095" s="13" t="s">
        <v>15</v>
      </c>
      <c r="D1095" s="13" t="s">
        <v>28</v>
      </c>
      <c r="E1095" s="13">
        <v>8</v>
      </c>
      <c r="F1095" s="14">
        <v>21752</v>
      </c>
      <c r="G1095" s="14">
        <v>174016</v>
      </c>
      <c r="H1095" s="13" t="s">
        <v>43</v>
      </c>
      <c r="I1095" s="13" t="s">
        <v>44</v>
      </c>
    </row>
    <row r="1096" spans="1:9" x14ac:dyDescent="0.3">
      <c r="A1096" s="12">
        <v>45920</v>
      </c>
      <c r="B1096" s="13" t="s">
        <v>9</v>
      </c>
      <c r="C1096" s="13" t="s">
        <v>25</v>
      </c>
      <c r="D1096" s="13" t="s">
        <v>11</v>
      </c>
      <c r="E1096" s="13">
        <v>1</v>
      </c>
      <c r="F1096" s="14">
        <v>56028</v>
      </c>
      <c r="G1096" s="14">
        <v>56028</v>
      </c>
      <c r="H1096" s="13" t="s">
        <v>43</v>
      </c>
      <c r="I1096" s="13" t="s">
        <v>44</v>
      </c>
    </row>
    <row r="1097" spans="1:9" x14ac:dyDescent="0.3">
      <c r="A1097" s="12">
        <v>45920</v>
      </c>
      <c r="B1097" s="13" t="s">
        <v>9</v>
      </c>
      <c r="C1097" s="13" t="s">
        <v>19</v>
      </c>
      <c r="D1097" s="13" t="s">
        <v>24</v>
      </c>
      <c r="E1097" s="13">
        <v>1</v>
      </c>
      <c r="F1097" s="14">
        <v>17285</v>
      </c>
      <c r="G1097" s="14">
        <v>17285</v>
      </c>
      <c r="H1097" s="13" t="s">
        <v>43</v>
      </c>
      <c r="I1097" s="13" t="s">
        <v>44</v>
      </c>
    </row>
    <row r="1098" spans="1:9" x14ac:dyDescent="0.3">
      <c r="A1098" s="12">
        <v>45921</v>
      </c>
      <c r="B1098" s="13" t="s">
        <v>9</v>
      </c>
      <c r="C1098" s="13" t="s">
        <v>22</v>
      </c>
      <c r="D1098" s="13" t="s">
        <v>11</v>
      </c>
      <c r="E1098" s="13">
        <v>4</v>
      </c>
      <c r="F1098" s="14">
        <v>7856</v>
      </c>
      <c r="G1098" s="14">
        <v>31424</v>
      </c>
      <c r="H1098" s="13" t="s">
        <v>43</v>
      </c>
      <c r="I1098" s="13" t="s">
        <v>44</v>
      </c>
    </row>
    <row r="1099" spans="1:9" x14ac:dyDescent="0.3">
      <c r="A1099" s="12">
        <v>45921</v>
      </c>
      <c r="B1099" s="13" t="s">
        <v>17</v>
      </c>
      <c r="C1099" s="13" t="s">
        <v>19</v>
      </c>
      <c r="D1099" s="13" t="s">
        <v>11</v>
      </c>
      <c r="E1099" s="13">
        <v>9</v>
      </c>
      <c r="F1099" s="14">
        <v>17674</v>
      </c>
      <c r="G1099" s="14">
        <v>159066</v>
      </c>
      <c r="H1099" s="13" t="s">
        <v>43</v>
      </c>
      <c r="I1099" s="13" t="s">
        <v>44</v>
      </c>
    </row>
    <row r="1100" spans="1:9" x14ac:dyDescent="0.3">
      <c r="A1100" s="12">
        <v>45921</v>
      </c>
      <c r="B1100" s="13" t="s">
        <v>23</v>
      </c>
      <c r="C1100" s="13" t="s">
        <v>10</v>
      </c>
      <c r="D1100" s="13" t="s">
        <v>14</v>
      </c>
      <c r="E1100" s="13">
        <v>5</v>
      </c>
      <c r="F1100" s="14">
        <v>11579</v>
      </c>
      <c r="G1100" s="14">
        <v>57895</v>
      </c>
      <c r="H1100" s="13" t="s">
        <v>43</v>
      </c>
      <c r="I1100" s="13" t="s">
        <v>44</v>
      </c>
    </row>
    <row r="1101" spans="1:9" x14ac:dyDescent="0.3">
      <c r="A1101" s="12">
        <v>45921</v>
      </c>
      <c r="B1101" s="13" t="s">
        <v>20</v>
      </c>
      <c r="C1101" s="13" t="s">
        <v>25</v>
      </c>
      <c r="D1101" s="13" t="s">
        <v>28</v>
      </c>
      <c r="E1101" s="13">
        <v>10</v>
      </c>
      <c r="F1101" s="14">
        <v>55327</v>
      </c>
      <c r="G1101" s="14">
        <v>553270</v>
      </c>
      <c r="H1101" s="13" t="s">
        <v>43</v>
      </c>
      <c r="I1101" s="13" t="s">
        <v>44</v>
      </c>
    </row>
    <row r="1102" spans="1:9" x14ac:dyDescent="0.3">
      <c r="A1102" s="12">
        <v>45922</v>
      </c>
      <c r="B1102" s="13" t="s">
        <v>17</v>
      </c>
      <c r="C1102" s="13" t="s">
        <v>22</v>
      </c>
      <c r="D1102" s="13" t="s">
        <v>26</v>
      </c>
      <c r="E1102" s="13">
        <v>9</v>
      </c>
      <c r="F1102" s="14">
        <v>7854</v>
      </c>
      <c r="G1102" s="14">
        <v>70686</v>
      </c>
      <c r="H1102" s="13" t="s">
        <v>43</v>
      </c>
      <c r="I1102" s="13" t="s">
        <v>44</v>
      </c>
    </row>
    <row r="1103" spans="1:9" x14ac:dyDescent="0.3">
      <c r="A1103" s="12">
        <v>45922</v>
      </c>
      <c r="B1103" s="13" t="s">
        <v>17</v>
      </c>
      <c r="C1103" s="13" t="s">
        <v>10</v>
      </c>
      <c r="D1103" s="13" t="s">
        <v>11</v>
      </c>
      <c r="E1103" s="13">
        <v>10</v>
      </c>
      <c r="F1103" s="14">
        <v>11693</v>
      </c>
      <c r="G1103" s="14">
        <v>116930</v>
      </c>
      <c r="H1103" s="13" t="s">
        <v>43</v>
      </c>
      <c r="I1103" s="13" t="s">
        <v>44</v>
      </c>
    </row>
    <row r="1104" spans="1:9" x14ac:dyDescent="0.3">
      <c r="A1104" s="12">
        <v>45923</v>
      </c>
      <c r="B1104" s="13" t="s">
        <v>20</v>
      </c>
      <c r="C1104" s="13" t="s">
        <v>22</v>
      </c>
      <c r="D1104" s="13" t="s">
        <v>26</v>
      </c>
      <c r="E1104" s="13">
        <v>9</v>
      </c>
      <c r="F1104" s="14">
        <v>7954</v>
      </c>
      <c r="G1104" s="14">
        <v>71586</v>
      </c>
      <c r="H1104" s="13" t="s">
        <v>43</v>
      </c>
      <c r="I1104" s="13" t="s">
        <v>44</v>
      </c>
    </row>
    <row r="1105" spans="1:9" x14ac:dyDescent="0.3">
      <c r="A1105" s="12">
        <v>45923</v>
      </c>
      <c r="B1105" s="13" t="s">
        <v>17</v>
      </c>
      <c r="C1105" s="13" t="s">
        <v>25</v>
      </c>
      <c r="D1105" s="13" t="s">
        <v>24</v>
      </c>
      <c r="E1105" s="13">
        <v>1</v>
      </c>
      <c r="F1105" s="14">
        <v>52832</v>
      </c>
      <c r="G1105" s="14">
        <v>52832</v>
      </c>
      <c r="H1105" s="13" t="s">
        <v>43</v>
      </c>
      <c r="I1105" s="13" t="s">
        <v>44</v>
      </c>
    </row>
    <row r="1106" spans="1:9" x14ac:dyDescent="0.3">
      <c r="A1106" s="12">
        <v>45924</v>
      </c>
      <c r="B1106" s="13" t="s">
        <v>9</v>
      </c>
      <c r="C1106" s="13" t="s">
        <v>21</v>
      </c>
      <c r="D1106" s="13" t="s">
        <v>18</v>
      </c>
      <c r="E1106" s="13">
        <v>3</v>
      </c>
      <c r="F1106" s="14">
        <v>3571</v>
      </c>
      <c r="G1106" s="14">
        <v>10713</v>
      </c>
      <c r="H1106" s="13" t="s">
        <v>43</v>
      </c>
      <c r="I1106" s="13" t="s">
        <v>44</v>
      </c>
    </row>
    <row r="1107" spans="1:9" x14ac:dyDescent="0.3">
      <c r="A1107" s="12">
        <v>45924</v>
      </c>
      <c r="B1107" s="13" t="s">
        <v>23</v>
      </c>
      <c r="C1107" s="13" t="s">
        <v>22</v>
      </c>
      <c r="D1107" s="13" t="s">
        <v>26</v>
      </c>
      <c r="E1107" s="13">
        <v>5</v>
      </c>
      <c r="F1107" s="14">
        <v>7865</v>
      </c>
      <c r="G1107" s="14">
        <v>39325</v>
      </c>
      <c r="H1107" s="13" t="s">
        <v>43</v>
      </c>
      <c r="I1107" s="13" t="s">
        <v>44</v>
      </c>
    </row>
    <row r="1108" spans="1:9" x14ac:dyDescent="0.3">
      <c r="A1108" s="12">
        <v>45925</v>
      </c>
      <c r="B1108" s="13" t="s">
        <v>9</v>
      </c>
      <c r="C1108" s="13" t="s">
        <v>21</v>
      </c>
      <c r="D1108" s="13" t="s">
        <v>27</v>
      </c>
      <c r="E1108" s="13">
        <v>2</v>
      </c>
      <c r="F1108" s="14">
        <v>3609</v>
      </c>
      <c r="G1108" s="14">
        <v>7218</v>
      </c>
      <c r="H1108" s="13" t="s">
        <v>43</v>
      </c>
      <c r="I1108" s="13" t="s">
        <v>44</v>
      </c>
    </row>
    <row r="1109" spans="1:9" x14ac:dyDescent="0.3">
      <c r="A1109" s="12">
        <v>45925</v>
      </c>
      <c r="B1109" s="13" t="s">
        <v>23</v>
      </c>
      <c r="C1109" s="13" t="s">
        <v>25</v>
      </c>
      <c r="D1109" s="13" t="s">
        <v>24</v>
      </c>
      <c r="E1109" s="13">
        <v>5</v>
      </c>
      <c r="F1109" s="14">
        <v>56014</v>
      </c>
      <c r="G1109" s="14">
        <v>280070</v>
      </c>
      <c r="H1109" s="13" t="s">
        <v>43</v>
      </c>
      <c r="I1109" s="13" t="s">
        <v>44</v>
      </c>
    </row>
    <row r="1110" spans="1:9" x14ac:dyDescent="0.3">
      <c r="A1110" s="12">
        <v>45925</v>
      </c>
      <c r="B1110" s="13" t="s">
        <v>23</v>
      </c>
      <c r="C1110" s="13" t="s">
        <v>21</v>
      </c>
      <c r="D1110" s="13" t="s">
        <v>16</v>
      </c>
      <c r="E1110" s="13">
        <v>4</v>
      </c>
      <c r="F1110" s="14">
        <v>3375</v>
      </c>
      <c r="G1110" s="14">
        <v>13500</v>
      </c>
      <c r="H1110" s="13" t="s">
        <v>43</v>
      </c>
      <c r="I1110" s="13" t="s">
        <v>44</v>
      </c>
    </row>
    <row r="1111" spans="1:9" x14ac:dyDescent="0.3">
      <c r="A1111" s="12">
        <v>45926</v>
      </c>
      <c r="B1111" s="13" t="s">
        <v>20</v>
      </c>
      <c r="C1111" s="13" t="s">
        <v>19</v>
      </c>
      <c r="D1111" s="13" t="s">
        <v>18</v>
      </c>
      <c r="E1111" s="13">
        <v>3</v>
      </c>
      <c r="F1111" s="14">
        <v>18359</v>
      </c>
      <c r="G1111" s="14">
        <v>55077</v>
      </c>
      <c r="H1111" s="13" t="s">
        <v>43</v>
      </c>
      <c r="I1111" s="13" t="s">
        <v>44</v>
      </c>
    </row>
    <row r="1112" spans="1:9" x14ac:dyDescent="0.3">
      <c r="A1112" s="12">
        <v>45926</v>
      </c>
      <c r="B1112" s="13" t="s">
        <v>20</v>
      </c>
      <c r="C1112" s="13" t="s">
        <v>19</v>
      </c>
      <c r="D1112" s="13" t="s">
        <v>24</v>
      </c>
      <c r="E1112" s="13">
        <v>8</v>
      </c>
      <c r="F1112" s="14">
        <v>17154</v>
      </c>
      <c r="G1112" s="14">
        <v>137232</v>
      </c>
      <c r="H1112" s="13" t="s">
        <v>43</v>
      </c>
      <c r="I1112" s="13" t="s">
        <v>44</v>
      </c>
    </row>
    <row r="1113" spans="1:9" x14ac:dyDescent="0.3">
      <c r="A1113" s="12">
        <v>45926</v>
      </c>
      <c r="B1113" s="13" t="s">
        <v>23</v>
      </c>
      <c r="C1113" s="13" t="s">
        <v>25</v>
      </c>
      <c r="D1113" s="13" t="s">
        <v>26</v>
      </c>
      <c r="E1113" s="13">
        <v>8</v>
      </c>
      <c r="F1113" s="14">
        <v>54786</v>
      </c>
      <c r="G1113" s="14">
        <v>438288</v>
      </c>
      <c r="H1113" s="13" t="s">
        <v>43</v>
      </c>
      <c r="I1113" s="13" t="s">
        <v>44</v>
      </c>
    </row>
    <row r="1114" spans="1:9" x14ac:dyDescent="0.3">
      <c r="A1114" s="12">
        <v>45926</v>
      </c>
      <c r="B1114" s="13" t="s">
        <v>17</v>
      </c>
      <c r="C1114" s="13" t="s">
        <v>19</v>
      </c>
      <c r="D1114" s="13" t="s">
        <v>26</v>
      </c>
      <c r="E1114" s="13">
        <v>10</v>
      </c>
      <c r="F1114" s="14">
        <v>18134</v>
      </c>
      <c r="G1114" s="14">
        <v>181340</v>
      </c>
      <c r="H1114" s="13" t="s">
        <v>43</v>
      </c>
      <c r="I1114" s="13" t="s">
        <v>44</v>
      </c>
    </row>
    <row r="1115" spans="1:9" x14ac:dyDescent="0.3">
      <c r="A1115" s="12">
        <v>45926</v>
      </c>
      <c r="B1115" s="13" t="s">
        <v>9</v>
      </c>
      <c r="C1115" s="13" t="s">
        <v>21</v>
      </c>
      <c r="D1115" s="13" t="s">
        <v>14</v>
      </c>
      <c r="E1115" s="13">
        <v>6</v>
      </c>
      <c r="F1115" s="14">
        <v>3519</v>
      </c>
      <c r="G1115" s="14">
        <v>21114</v>
      </c>
      <c r="H1115" s="13" t="s">
        <v>43</v>
      </c>
      <c r="I1115" s="13" t="s">
        <v>44</v>
      </c>
    </row>
    <row r="1116" spans="1:9" x14ac:dyDescent="0.3">
      <c r="A1116" s="12">
        <v>45926</v>
      </c>
      <c r="B1116" s="13" t="s">
        <v>9</v>
      </c>
      <c r="C1116" s="13" t="s">
        <v>19</v>
      </c>
      <c r="D1116" s="13" t="s">
        <v>24</v>
      </c>
      <c r="E1116" s="13">
        <v>7</v>
      </c>
      <c r="F1116" s="14">
        <v>18162</v>
      </c>
      <c r="G1116" s="14">
        <v>127134</v>
      </c>
      <c r="H1116" s="13" t="s">
        <v>43</v>
      </c>
      <c r="I1116" s="13" t="s">
        <v>44</v>
      </c>
    </row>
    <row r="1117" spans="1:9" x14ac:dyDescent="0.3">
      <c r="A1117" s="12">
        <v>45927</v>
      </c>
      <c r="B1117" s="13" t="s">
        <v>17</v>
      </c>
      <c r="C1117" s="13" t="s">
        <v>22</v>
      </c>
      <c r="D1117" s="13" t="s">
        <v>27</v>
      </c>
      <c r="E1117" s="13">
        <v>8</v>
      </c>
      <c r="F1117" s="14">
        <v>7907</v>
      </c>
      <c r="G1117" s="14">
        <v>63256</v>
      </c>
      <c r="H1117" s="13" t="s">
        <v>43</v>
      </c>
      <c r="I1117" s="13" t="s">
        <v>44</v>
      </c>
    </row>
    <row r="1118" spans="1:9" x14ac:dyDescent="0.3">
      <c r="A1118" s="12">
        <v>45927</v>
      </c>
      <c r="B1118" s="13" t="s">
        <v>20</v>
      </c>
      <c r="C1118" s="13" t="s">
        <v>15</v>
      </c>
      <c r="D1118" s="13" t="s">
        <v>18</v>
      </c>
      <c r="E1118" s="13">
        <v>7</v>
      </c>
      <c r="F1118" s="14">
        <v>22147</v>
      </c>
      <c r="G1118" s="14">
        <v>155029</v>
      </c>
      <c r="H1118" s="13" t="s">
        <v>43</v>
      </c>
      <c r="I1118" s="13" t="s">
        <v>44</v>
      </c>
    </row>
    <row r="1119" spans="1:9" x14ac:dyDescent="0.3">
      <c r="A1119" s="12">
        <v>45927</v>
      </c>
      <c r="B1119" s="13" t="s">
        <v>20</v>
      </c>
      <c r="C1119" s="13" t="s">
        <v>22</v>
      </c>
      <c r="D1119" s="13" t="s">
        <v>16</v>
      </c>
      <c r="E1119" s="13">
        <v>3</v>
      </c>
      <c r="F1119" s="14">
        <v>8130</v>
      </c>
      <c r="G1119" s="14">
        <v>24390</v>
      </c>
      <c r="H1119" s="13" t="s">
        <v>43</v>
      </c>
      <c r="I1119" s="13" t="s">
        <v>44</v>
      </c>
    </row>
    <row r="1120" spans="1:9" x14ac:dyDescent="0.3">
      <c r="A1120" s="12">
        <v>45928</v>
      </c>
      <c r="B1120" s="13" t="s">
        <v>23</v>
      </c>
      <c r="C1120" s="13" t="s">
        <v>25</v>
      </c>
      <c r="D1120" s="13" t="s">
        <v>24</v>
      </c>
      <c r="E1120" s="13">
        <v>6</v>
      </c>
      <c r="F1120" s="14">
        <v>55302</v>
      </c>
      <c r="G1120" s="14">
        <v>331812</v>
      </c>
      <c r="H1120" s="13" t="s">
        <v>43</v>
      </c>
      <c r="I1120" s="13" t="s">
        <v>44</v>
      </c>
    </row>
    <row r="1121" spans="1:9" x14ac:dyDescent="0.3">
      <c r="A1121" s="12">
        <v>45928</v>
      </c>
      <c r="B1121" s="13" t="s">
        <v>23</v>
      </c>
      <c r="C1121" s="13" t="s">
        <v>15</v>
      </c>
      <c r="D1121" s="13" t="s">
        <v>11</v>
      </c>
      <c r="E1121" s="13">
        <v>7</v>
      </c>
      <c r="F1121" s="14">
        <v>21053</v>
      </c>
      <c r="G1121" s="14">
        <v>147371</v>
      </c>
      <c r="H1121" s="13" t="s">
        <v>43</v>
      </c>
      <c r="I1121" s="13" t="s">
        <v>44</v>
      </c>
    </row>
    <row r="1122" spans="1:9" x14ac:dyDescent="0.3">
      <c r="A1122" s="12">
        <v>45929</v>
      </c>
      <c r="B1122" s="13" t="s">
        <v>23</v>
      </c>
      <c r="C1122" s="13" t="s">
        <v>19</v>
      </c>
      <c r="D1122" s="13" t="s">
        <v>24</v>
      </c>
      <c r="E1122" s="13">
        <v>1</v>
      </c>
      <c r="F1122" s="14">
        <v>17262</v>
      </c>
      <c r="G1122" s="14">
        <v>17262</v>
      </c>
      <c r="H1122" s="13" t="s">
        <v>43</v>
      </c>
      <c r="I1122" s="13" t="s">
        <v>44</v>
      </c>
    </row>
    <row r="1123" spans="1:9" x14ac:dyDescent="0.3">
      <c r="A1123" s="12">
        <v>45929</v>
      </c>
      <c r="B1123" s="13" t="s">
        <v>17</v>
      </c>
      <c r="C1123" s="13" t="s">
        <v>22</v>
      </c>
      <c r="D1123" s="13" t="s">
        <v>28</v>
      </c>
      <c r="E1123" s="13">
        <v>3</v>
      </c>
      <c r="F1123" s="14">
        <v>8128</v>
      </c>
      <c r="G1123" s="14">
        <v>24384</v>
      </c>
      <c r="H1123" s="13" t="s">
        <v>43</v>
      </c>
      <c r="I1123" s="13" t="s">
        <v>44</v>
      </c>
    </row>
    <row r="1124" spans="1:9" x14ac:dyDescent="0.3">
      <c r="A1124" s="12">
        <v>45930</v>
      </c>
      <c r="B1124" s="13" t="s">
        <v>20</v>
      </c>
      <c r="C1124" s="13" t="s">
        <v>21</v>
      </c>
      <c r="D1124" s="13" t="s">
        <v>24</v>
      </c>
      <c r="E1124" s="13">
        <v>4</v>
      </c>
      <c r="F1124" s="14">
        <v>3396</v>
      </c>
      <c r="G1124" s="14">
        <v>13584</v>
      </c>
      <c r="H1124" s="13" t="s">
        <v>43</v>
      </c>
      <c r="I1124" s="13" t="s">
        <v>44</v>
      </c>
    </row>
    <row r="1125" spans="1:9" x14ac:dyDescent="0.3">
      <c r="A1125" s="12">
        <v>45930</v>
      </c>
      <c r="B1125" s="13" t="s">
        <v>20</v>
      </c>
      <c r="C1125" s="13" t="s">
        <v>19</v>
      </c>
      <c r="D1125" s="13" t="s">
        <v>11</v>
      </c>
      <c r="E1125" s="13">
        <v>7</v>
      </c>
      <c r="F1125" s="14">
        <v>18392</v>
      </c>
      <c r="G1125" s="14">
        <v>128744</v>
      </c>
      <c r="H1125" s="13" t="s">
        <v>43</v>
      </c>
      <c r="I1125" s="13" t="s">
        <v>44</v>
      </c>
    </row>
    <row r="1126" spans="1:9" x14ac:dyDescent="0.3">
      <c r="A1126" s="12">
        <v>45930</v>
      </c>
      <c r="B1126" s="13" t="s">
        <v>20</v>
      </c>
      <c r="C1126" s="13" t="s">
        <v>25</v>
      </c>
      <c r="D1126" s="13" t="s">
        <v>28</v>
      </c>
      <c r="E1126" s="13">
        <v>10</v>
      </c>
      <c r="F1126" s="14">
        <v>57675</v>
      </c>
      <c r="G1126" s="14">
        <v>576750</v>
      </c>
      <c r="H1126" s="13" t="s">
        <v>43</v>
      </c>
      <c r="I1126" s="13" t="s">
        <v>44</v>
      </c>
    </row>
    <row r="1127" spans="1:9" x14ac:dyDescent="0.3">
      <c r="A1127" s="12">
        <v>45930</v>
      </c>
      <c r="B1127" s="13" t="s">
        <v>23</v>
      </c>
      <c r="C1127" s="13" t="s">
        <v>15</v>
      </c>
      <c r="D1127" s="13" t="s">
        <v>11</v>
      </c>
      <c r="E1127" s="13">
        <v>1</v>
      </c>
      <c r="F1127" s="14">
        <v>21712</v>
      </c>
      <c r="G1127" s="14">
        <v>21712</v>
      </c>
      <c r="H1127" s="13" t="s">
        <v>43</v>
      </c>
      <c r="I1127" s="13" t="s">
        <v>44</v>
      </c>
    </row>
    <row r="1128" spans="1:9" x14ac:dyDescent="0.3">
      <c r="A1128" s="12">
        <v>45930</v>
      </c>
      <c r="B1128" s="13" t="s">
        <v>9</v>
      </c>
      <c r="C1128" s="13" t="s">
        <v>25</v>
      </c>
      <c r="D1128" s="13" t="s">
        <v>26</v>
      </c>
      <c r="E1128" s="13">
        <v>2</v>
      </c>
      <c r="F1128" s="14">
        <v>56986</v>
      </c>
      <c r="G1128" s="14">
        <v>113972</v>
      </c>
      <c r="H1128" s="13" t="s">
        <v>43</v>
      </c>
      <c r="I1128" s="13" t="s">
        <v>44</v>
      </c>
    </row>
    <row r="1129" spans="1:9" x14ac:dyDescent="0.3">
      <c r="A1129" s="12">
        <v>45931</v>
      </c>
      <c r="B1129" s="13" t="s">
        <v>17</v>
      </c>
      <c r="C1129" s="13" t="s">
        <v>21</v>
      </c>
      <c r="D1129" s="13" t="s">
        <v>18</v>
      </c>
      <c r="E1129" s="13">
        <v>6</v>
      </c>
      <c r="F1129" s="14">
        <v>3574</v>
      </c>
      <c r="G1129" s="14">
        <v>21444</v>
      </c>
      <c r="H1129" s="13" t="s">
        <v>45</v>
      </c>
      <c r="I1129" s="13" t="s">
        <v>46</v>
      </c>
    </row>
    <row r="1130" spans="1:9" x14ac:dyDescent="0.3">
      <c r="A1130" s="12">
        <v>45931</v>
      </c>
      <c r="B1130" s="13" t="s">
        <v>23</v>
      </c>
      <c r="C1130" s="13" t="s">
        <v>21</v>
      </c>
      <c r="D1130" s="13" t="s">
        <v>18</v>
      </c>
      <c r="E1130" s="13">
        <v>9</v>
      </c>
      <c r="F1130" s="14">
        <v>3398</v>
      </c>
      <c r="G1130" s="14">
        <v>30582</v>
      </c>
      <c r="H1130" s="13" t="s">
        <v>45</v>
      </c>
      <c r="I1130" s="13" t="s">
        <v>46</v>
      </c>
    </row>
    <row r="1131" spans="1:9" x14ac:dyDescent="0.3">
      <c r="A1131" s="12">
        <v>45932</v>
      </c>
      <c r="B1131" s="13" t="s">
        <v>23</v>
      </c>
      <c r="C1131" s="13" t="s">
        <v>15</v>
      </c>
      <c r="D1131" s="13" t="s">
        <v>16</v>
      </c>
      <c r="E1131" s="13">
        <v>9</v>
      </c>
      <c r="F1131" s="14">
        <v>21746</v>
      </c>
      <c r="G1131" s="14">
        <v>195714</v>
      </c>
      <c r="H1131" s="13" t="s">
        <v>45</v>
      </c>
      <c r="I1131" s="13" t="s">
        <v>46</v>
      </c>
    </row>
    <row r="1132" spans="1:9" x14ac:dyDescent="0.3">
      <c r="A1132" s="12">
        <v>45932</v>
      </c>
      <c r="B1132" s="13" t="s">
        <v>20</v>
      </c>
      <c r="C1132" s="13" t="s">
        <v>21</v>
      </c>
      <c r="D1132" s="13" t="s">
        <v>27</v>
      </c>
      <c r="E1132" s="13">
        <v>5</v>
      </c>
      <c r="F1132" s="14">
        <v>3674</v>
      </c>
      <c r="G1132" s="14">
        <v>18370</v>
      </c>
      <c r="H1132" s="13" t="s">
        <v>45</v>
      </c>
      <c r="I1132" s="13" t="s">
        <v>46</v>
      </c>
    </row>
    <row r="1133" spans="1:9" x14ac:dyDescent="0.3">
      <c r="A1133" s="12">
        <v>45932</v>
      </c>
      <c r="B1133" s="13" t="s">
        <v>17</v>
      </c>
      <c r="C1133" s="13" t="s">
        <v>15</v>
      </c>
      <c r="D1133" s="13" t="s">
        <v>28</v>
      </c>
      <c r="E1133" s="13">
        <v>2</v>
      </c>
      <c r="F1133" s="14">
        <v>22326</v>
      </c>
      <c r="G1133" s="14">
        <v>44652</v>
      </c>
      <c r="H1133" s="13" t="s">
        <v>45</v>
      </c>
      <c r="I1133" s="13" t="s">
        <v>46</v>
      </c>
    </row>
    <row r="1134" spans="1:9" x14ac:dyDescent="0.3">
      <c r="A1134" s="12">
        <v>45933</v>
      </c>
      <c r="B1134" s="13" t="s">
        <v>23</v>
      </c>
      <c r="C1134" s="13" t="s">
        <v>10</v>
      </c>
      <c r="D1134" s="13" t="s">
        <v>18</v>
      </c>
      <c r="E1134" s="13">
        <v>3</v>
      </c>
      <c r="F1134" s="14">
        <v>11501</v>
      </c>
      <c r="G1134" s="14">
        <v>34503</v>
      </c>
      <c r="H1134" s="13" t="s">
        <v>45</v>
      </c>
      <c r="I1134" s="13" t="s">
        <v>46</v>
      </c>
    </row>
    <row r="1135" spans="1:9" x14ac:dyDescent="0.3">
      <c r="A1135" s="12">
        <v>45933</v>
      </c>
      <c r="B1135" s="13" t="s">
        <v>23</v>
      </c>
      <c r="C1135" s="13" t="s">
        <v>21</v>
      </c>
      <c r="D1135" s="13" t="s">
        <v>18</v>
      </c>
      <c r="E1135" s="13">
        <v>10</v>
      </c>
      <c r="F1135" s="14">
        <v>3387</v>
      </c>
      <c r="G1135" s="14">
        <v>33870</v>
      </c>
      <c r="H1135" s="13" t="s">
        <v>45</v>
      </c>
      <c r="I1135" s="13" t="s">
        <v>46</v>
      </c>
    </row>
    <row r="1136" spans="1:9" x14ac:dyDescent="0.3">
      <c r="A1136" s="12">
        <v>45933</v>
      </c>
      <c r="B1136" s="13" t="s">
        <v>23</v>
      </c>
      <c r="C1136" s="13" t="s">
        <v>22</v>
      </c>
      <c r="D1136" s="13" t="s">
        <v>24</v>
      </c>
      <c r="E1136" s="13">
        <v>7</v>
      </c>
      <c r="F1136" s="14">
        <v>7884</v>
      </c>
      <c r="G1136" s="14">
        <v>55188</v>
      </c>
      <c r="H1136" s="13" t="s">
        <v>45</v>
      </c>
      <c r="I1136" s="13" t="s">
        <v>46</v>
      </c>
    </row>
    <row r="1137" spans="1:9" x14ac:dyDescent="0.3">
      <c r="A1137" s="12">
        <v>45934</v>
      </c>
      <c r="B1137" s="13" t="s">
        <v>23</v>
      </c>
      <c r="C1137" s="13" t="s">
        <v>22</v>
      </c>
      <c r="D1137" s="13" t="s">
        <v>28</v>
      </c>
      <c r="E1137" s="13">
        <v>10</v>
      </c>
      <c r="F1137" s="14">
        <v>7998</v>
      </c>
      <c r="G1137" s="14">
        <v>79980</v>
      </c>
      <c r="H1137" s="13" t="s">
        <v>45</v>
      </c>
      <c r="I1137" s="13" t="s">
        <v>46</v>
      </c>
    </row>
    <row r="1138" spans="1:9" x14ac:dyDescent="0.3">
      <c r="A1138" s="12">
        <v>45934</v>
      </c>
      <c r="B1138" s="13" t="s">
        <v>17</v>
      </c>
      <c r="C1138" s="13" t="s">
        <v>10</v>
      </c>
      <c r="D1138" s="13" t="s">
        <v>11</v>
      </c>
      <c r="E1138" s="13">
        <v>7</v>
      </c>
      <c r="F1138" s="14">
        <v>12511</v>
      </c>
      <c r="G1138" s="14">
        <v>87577</v>
      </c>
      <c r="H1138" s="13" t="s">
        <v>45</v>
      </c>
      <c r="I1138" s="13" t="s">
        <v>46</v>
      </c>
    </row>
    <row r="1139" spans="1:9" x14ac:dyDescent="0.3">
      <c r="A1139" s="12">
        <v>45934</v>
      </c>
      <c r="B1139" s="13" t="s">
        <v>20</v>
      </c>
      <c r="C1139" s="13" t="s">
        <v>25</v>
      </c>
      <c r="D1139" s="13" t="s">
        <v>28</v>
      </c>
      <c r="E1139" s="13">
        <v>10</v>
      </c>
      <c r="F1139" s="14">
        <v>54907</v>
      </c>
      <c r="G1139" s="14">
        <v>549070</v>
      </c>
      <c r="H1139" s="13" t="s">
        <v>45</v>
      </c>
      <c r="I1139" s="13" t="s">
        <v>46</v>
      </c>
    </row>
    <row r="1140" spans="1:9" x14ac:dyDescent="0.3">
      <c r="A1140" s="12">
        <v>45935</v>
      </c>
      <c r="B1140" s="13" t="s">
        <v>9</v>
      </c>
      <c r="C1140" s="13" t="s">
        <v>22</v>
      </c>
      <c r="D1140" s="13" t="s">
        <v>24</v>
      </c>
      <c r="E1140" s="13">
        <v>2</v>
      </c>
      <c r="F1140" s="14">
        <v>7713</v>
      </c>
      <c r="G1140" s="14">
        <v>15426</v>
      </c>
      <c r="H1140" s="13" t="s">
        <v>45</v>
      </c>
      <c r="I1140" s="13" t="s">
        <v>46</v>
      </c>
    </row>
    <row r="1141" spans="1:9" x14ac:dyDescent="0.3">
      <c r="A1141" s="12">
        <v>45935</v>
      </c>
      <c r="B1141" s="13" t="s">
        <v>20</v>
      </c>
      <c r="C1141" s="13" t="s">
        <v>21</v>
      </c>
      <c r="D1141" s="13" t="s">
        <v>14</v>
      </c>
      <c r="E1141" s="13">
        <v>9</v>
      </c>
      <c r="F1141" s="14">
        <v>3636</v>
      </c>
      <c r="G1141" s="14">
        <v>32724</v>
      </c>
      <c r="H1141" s="13" t="s">
        <v>45</v>
      </c>
      <c r="I1141" s="13" t="s">
        <v>46</v>
      </c>
    </row>
    <row r="1142" spans="1:9" x14ac:dyDescent="0.3">
      <c r="A1142" s="12">
        <v>45935</v>
      </c>
      <c r="B1142" s="13" t="s">
        <v>9</v>
      </c>
      <c r="C1142" s="13" t="s">
        <v>15</v>
      </c>
      <c r="D1142" s="13" t="s">
        <v>24</v>
      </c>
      <c r="E1142" s="13">
        <v>2</v>
      </c>
      <c r="F1142" s="14">
        <v>22404</v>
      </c>
      <c r="G1142" s="14">
        <v>44808</v>
      </c>
      <c r="H1142" s="13" t="s">
        <v>45</v>
      </c>
      <c r="I1142" s="13" t="s">
        <v>46</v>
      </c>
    </row>
    <row r="1143" spans="1:9" x14ac:dyDescent="0.3">
      <c r="A1143" s="12">
        <v>45935</v>
      </c>
      <c r="B1143" s="13" t="s">
        <v>20</v>
      </c>
      <c r="C1143" s="13" t="s">
        <v>22</v>
      </c>
      <c r="D1143" s="13" t="s">
        <v>28</v>
      </c>
      <c r="E1143" s="13">
        <v>6</v>
      </c>
      <c r="F1143" s="14">
        <v>8028</v>
      </c>
      <c r="G1143" s="14">
        <v>48168</v>
      </c>
      <c r="H1143" s="13" t="s">
        <v>45</v>
      </c>
      <c r="I1143" s="13" t="s">
        <v>46</v>
      </c>
    </row>
    <row r="1144" spans="1:9" x14ac:dyDescent="0.3">
      <c r="A1144" s="12">
        <v>45936</v>
      </c>
      <c r="B1144" s="13" t="s">
        <v>23</v>
      </c>
      <c r="C1144" s="13" t="s">
        <v>21</v>
      </c>
      <c r="D1144" s="13" t="s">
        <v>24</v>
      </c>
      <c r="E1144" s="13">
        <v>10</v>
      </c>
      <c r="F1144" s="14">
        <v>3581</v>
      </c>
      <c r="G1144" s="14">
        <v>35810</v>
      </c>
      <c r="H1144" s="13" t="s">
        <v>45</v>
      </c>
      <c r="I1144" s="13" t="s">
        <v>46</v>
      </c>
    </row>
    <row r="1145" spans="1:9" x14ac:dyDescent="0.3">
      <c r="A1145" s="12">
        <v>45936</v>
      </c>
      <c r="B1145" s="13" t="s">
        <v>23</v>
      </c>
      <c r="C1145" s="13" t="s">
        <v>19</v>
      </c>
      <c r="D1145" s="13" t="s">
        <v>11</v>
      </c>
      <c r="E1145" s="13">
        <v>5</v>
      </c>
      <c r="F1145" s="14">
        <v>17401</v>
      </c>
      <c r="G1145" s="14">
        <v>87005</v>
      </c>
      <c r="H1145" s="13" t="s">
        <v>45</v>
      </c>
      <c r="I1145" s="13" t="s">
        <v>46</v>
      </c>
    </row>
    <row r="1146" spans="1:9" x14ac:dyDescent="0.3">
      <c r="A1146" s="12">
        <v>45937</v>
      </c>
      <c r="B1146" s="13" t="s">
        <v>20</v>
      </c>
      <c r="C1146" s="13" t="s">
        <v>10</v>
      </c>
      <c r="D1146" s="13" t="s">
        <v>11</v>
      </c>
      <c r="E1146" s="13">
        <v>1</v>
      </c>
      <c r="F1146" s="14">
        <v>12155</v>
      </c>
      <c r="G1146" s="14">
        <v>12155</v>
      </c>
      <c r="H1146" s="13" t="s">
        <v>45</v>
      </c>
      <c r="I1146" s="13" t="s">
        <v>46</v>
      </c>
    </row>
    <row r="1147" spans="1:9" x14ac:dyDescent="0.3">
      <c r="A1147" s="12">
        <v>45937</v>
      </c>
      <c r="B1147" s="13" t="s">
        <v>17</v>
      </c>
      <c r="C1147" s="13" t="s">
        <v>22</v>
      </c>
      <c r="D1147" s="13" t="s">
        <v>28</v>
      </c>
      <c r="E1147" s="13">
        <v>5</v>
      </c>
      <c r="F1147" s="14">
        <v>8247</v>
      </c>
      <c r="G1147" s="14">
        <v>41235</v>
      </c>
      <c r="H1147" s="13" t="s">
        <v>45</v>
      </c>
      <c r="I1147" s="13" t="s">
        <v>46</v>
      </c>
    </row>
    <row r="1148" spans="1:9" x14ac:dyDescent="0.3">
      <c r="A1148" s="12">
        <v>45937</v>
      </c>
      <c r="B1148" s="13" t="s">
        <v>9</v>
      </c>
      <c r="C1148" s="13" t="s">
        <v>19</v>
      </c>
      <c r="D1148" s="13" t="s">
        <v>24</v>
      </c>
      <c r="E1148" s="13">
        <v>2</v>
      </c>
      <c r="F1148" s="14">
        <v>17328</v>
      </c>
      <c r="G1148" s="14">
        <v>34656</v>
      </c>
      <c r="H1148" s="13" t="s">
        <v>45</v>
      </c>
      <c r="I1148" s="13" t="s">
        <v>46</v>
      </c>
    </row>
    <row r="1149" spans="1:9" x14ac:dyDescent="0.3">
      <c r="A1149" s="12">
        <v>45937</v>
      </c>
      <c r="B1149" s="13" t="s">
        <v>9</v>
      </c>
      <c r="C1149" s="13" t="s">
        <v>19</v>
      </c>
      <c r="D1149" s="13" t="s">
        <v>11</v>
      </c>
      <c r="E1149" s="13">
        <v>3</v>
      </c>
      <c r="F1149" s="14">
        <v>18208</v>
      </c>
      <c r="G1149" s="14">
        <v>54624</v>
      </c>
      <c r="H1149" s="13" t="s">
        <v>45</v>
      </c>
      <c r="I1149" s="13" t="s">
        <v>46</v>
      </c>
    </row>
    <row r="1150" spans="1:9" x14ac:dyDescent="0.3">
      <c r="A1150" s="12">
        <v>45937</v>
      </c>
      <c r="B1150" s="13" t="s">
        <v>20</v>
      </c>
      <c r="C1150" s="13" t="s">
        <v>19</v>
      </c>
      <c r="D1150" s="13" t="s">
        <v>28</v>
      </c>
      <c r="E1150" s="13">
        <v>2</v>
      </c>
      <c r="F1150" s="14">
        <v>18186</v>
      </c>
      <c r="G1150" s="14">
        <v>36372</v>
      </c>
      <c r="H1150" s="13" t="s">
        <v>45</v>
      </c>
      <c r="I1150" s="13" t="s">
        <v>46</v>
      </c>
    </row>
    <row r="1151" spans="1:9" x14ac:dyDescent="0.3">
      <c r="A1151" s="12">
        <v>45937</v>
      </c>
      <c r="B1151" s="13" t="s">
        <v>17</v>
      </c>
      <c r="C1151" s="13" t="s">
        <v>10</v>
      </c>
      <c r="D1151" s="13" t="s">
        <v>24</v>
      </c>
      <c r="E1151" s="13">
        <v>6</v>
      </c>
      <c r="F1151" s="14">
        <v>12369</v>
      </c>
      <c r="G1151" s="14">
        <v>74214</v>
      </c>
      <c r="H1151" s="13" t="s">
        <v>45</v>
      </c>
      <c r="I1151" s="13" t="s">
        <v>46</v>
      </c>
    </row>
    <row r="1152" spans="1:9" x14ac:dyDescent="0.3">
      <c r="A1152" s="12">
        <v>45938</v>
      </c>
      <c r="B1152" s="13" t="s">
        <v>17</v>
      </c>
      <c r="C1152" s="13" t="s">
        <v>21</v>
      </c>
      <c r="D1152" s="13" t="s">
        <v>27</v>
      </c>
      <c r="E1152" s="13">
        <v>9</v>
      </c>
      <c r="F1152" s="14">
        <v>3626</v>
      </c>
      <c r="G1152" s="14">
        <v>32634</v>
      </c>
      <c r="H1152" s="13" t="s">
        <v>45</v>
      </c>
      <c r="I1152" s="13" t="s">
        <v>46</v>
      </c>
    </row>
    <row r="1153" spans="1:9" x14ac:dyDescent="0.3">
      <c r="A1153" s="12">
        <v>45938</v>
      </c>
      <c r="B1153" s="13" t="s">
        <v>20</v>
      </c>
      <c r="C1153" s="13" t="s">
        <v>25</v>
      </c>
      <c r="D1153" s="13" t="s">
        <v>27</v>
      </c>
      <c r="E1153" s="13">
        <v>10</v>
      </c>
      <c r="F1153" s="14">
        <v>57386</v>
      </c>
      <c r="G1153" s="14">
        <v>573860</v>
      </c>
      <c r="H1153" s="13" t="s">
        <v>45</v>
      </c>
      <c r="I1153" s="13" t="s">
        <v>46</v>
      </c>
    </row>
    <row r="1154" spans="1:9" x14ac:dyDescent="0.3">
      <c r="A1154" s="12">
        <v>45938</v>
      </c>
      <c r="B1154" s="13" t="s">
        <v>17</v>
      </c>
      <c r="C1154" s="13" t="s">
        <v>21</v>
      </c>
      <c r="D1154" s="13" t="s">
        <v>18</v>
      </c>
      <c r="E1154" s="13">
        <v>7</v>
      </c>
      <c r="F1154" s="14">
        <v>3408</v>
      </c>
      <c r="G1154" s="14">
        <v>23856</v>
      </c>
      <c r="H1154" s="13" t="s">
        <v>45</v>
      </c>
      <c r="I1154" s="13" t="s">
        <v>46</v>
      </c>
    </row>
    <row r="1155" spans="1:9" x14ac:dyDescent="0.3">
      <c r="A1155" s="12">
        <v>45938</v>
      </c>
      <c r="B1155" s="13" t="s">
        <v>23</v>
      </c>
      <c r="C1155" s="13" t="s">
        <v>10</v>
      </c>
      <c r="D1155" s="13" t="s">
        <v>27</v>
      </c>
      <c r="E1155" s="13">
        <v>4</v>
      </c>
      <c r="F1155" s="14">
        <v>12093</v>
      </c>
      <c r="G1155" s="14">
        <v>48372</v>
      </c>
      <c r="H1155" s="13" t="s">
        <v>45</v>
      </c>
      <c r="I1155" s="13" t="s">
        <v>46</v>
      </c>
    </row>
    <row r="1156" spans="1:9" x14ac:dyDescent="0.3">
      <c r="A1156" s="12">
        <v>45939</v>
      </c>
      <c r="B1156" s="13" t="s">
        <v>9</v>
      </c>
      <c r="C1156" s="13" t="s">
        <v>10</v>
      </c>
      <c r="D1156" s="13" t="s">
        <v>11</v>
      </c>
      <c r="E1156" s="13">
        <v>2</v>
      </c>
      <c r="F1156" s="14">
        <v>11463</v>
      </c>
      <c r="G1156" s="14">
        <v>22926</v>
      </c>
      <c r="H1156" s="13" t="s">
        <v>45</v>
      </c>
      <c r="I1156" s="13" t="s">
        <v>46</v>
      </c>
    </row>
    <row r="1157" spans="1:9" x14ac:dyDescent="0.3">
      <c r="A1157" s="12">
        <v>45939</v>
      </c>
      <c r="B1157" s="13" t="s">
        <v>23</v>
      </c>
      <c r="C1157" s="13" t="s">
        <v>21</v>
      </c>
      <c r="D1157" s="13" t="s">
        <v>24</v>
      </c>
      <c r="E1157" s="13">
        <v>5</v>
      </c>
      <c r="F1157" s="14">
        <v>3491</v>
      </c>
      <c r="G1157" s="14">
        <v>17455</v>
      </c>
      <c r="H1157" s="13" t="s">
        <v>45</v>
      </c>
      <c r="I1157" s="13" t="s">
        <v>46</v>
      </c>
    </row>
    <row r="1158" spans="1:9" x14ac:dyDescent="0.3">
      <c r="A1158" s="12">
        <v>45939</v>
      </c>
      <c r="B1158" s="13" t="s">
        <v>17</v>
      </c>
      <c r="C1158" s="13" t="s">
        <v>21</v>
      </c>
      <c r="D1158" s="13" t="s">
        <v>18</v>
      </c>
      <c r="E1158" s="13">
        <v>8</v>
      </c>
      <c r="F1158" s="14">
        <v>3416</v>
      </c>
      <c r="G1158" s="14">
        <v>27328</v>
      </c>
      <c r="H1158" s="13" t="s">
        <v>45</v>
      </c>
      <c r="I1158" s="13" t="s">
        <v>46</v>
      </c>
    </row>
    <row r="1159" spans="1:9" x14ac:dyDescent="0.3">
      <c r="A1159" s="12">
        <v>45939</v>
      </c>
      <c r="B1159" s="13" t="s">
        <v>23</v>
      </c>
      <c r="C1159" s="13" t="s">
        <v>25</v>
      </c>
      <c r="D1159" s="13" t="s">
        <v>11</v>
      </c>
      <c r="E1159" s="13">
        <v>8</v>
      </c>
      <c r="F1159" s="14">
        <v>54351</v>
      </c>
      <c r="G1159" s="14">
        <v>434808</v>
      </c>
      <c r="H1159" s="13" t="s">
        <v>45</v>
      </c>
      <c r="I1159" s="13" t="s">
        <v>46</v>
      </c>
    </row>
    <row r="1160" spans="1:9" x14ac:dyDescent="0.3">
      <c r="A1160" s="12">
        <v>45940</v>
      </c>
      <c r="B1160" s="13" t="s">
        <v>9</v>
      </c>
      <c r="C1160" s="13" t="s">
        <v>25</v>
      </c>
      <c r="D1160" s="13" t="s">
        <v>26</v>
      </c>
      <c r="E1160" s="13">
        <v>7</v>
      </c>
      <c r="F1160" s="14">
        <v>55607</v>
      </c>
      <c r="G1160" s="14">
        <v>389249</v>
      </c>
      <c r="H1160" s="13" t="s">
        <v>45</v>
      </c>
      <c r="I1160" s="13" t="s">
        <v>46</v>
      </c>
    </row>
    <row r="1161" spans="1:9" x14ac:dyDescent="0.3">
      <c r="A1161" s="12">
        <v>45940</v>
      </c>
      <c r="B1161" s="13" t="s">
        <v>20</v>
      </c>
      <c r="C1161" s="13" t="s">
        <v>19</v>
      </c>
      <c r="D1161" s="13" t="s">
        <v>11</v>
      </c>
      <c r="E1161" s="13">
        <v>5</v>
      </c>
      <c r="F1161" s="14">
        <v>18544</v>
      </c>
      <c r="G1161" s="14">
        <v>92720</v>
      </c>
      <c r="H1161" s="13" t="s">
        <v>45</v>
      </c>
      <c r="I1161" s="13" t="s">
        <v>46</v>
      </c>
    </row>
    <row r="1162" spans="1:9" x14ac:dyDescent="0.3">
      <c r="A1162" s="12">
        <v>45940</v>
      </c>
      <c r="B1162" s="13" t="s">
        <v>20</v>
      </c>
      <c r="C1162" s="13" t="s">
        <v>10</v>
      </c>
      <c r="D1162" s="13" t="s">
        <v>18</v>
      </c>
      <c r="E1162" s="13">
        <v>8</v>
      </c>
      <c r="F1162" s="14">
        <v>12327</v>
      </c>
      <c r="G1162" s="14">
        <v>98616</v>
      </c>
      <c r="H1162" s="13" t="s">
        <v>45</v>
      </c>
      <c r="I1162" s="13" t="s">
        <v>46</v>
      </c>
    </row>
    <row r="1163" spans="1:9" x14ac:dyDescent="0.3">
      <c r="A1163" s="12">
        <v>45940</v>
      </c>
      <c r="B1163" s="13" t="s">
        <v>17</v>
      </c>
      <c r="C1163" s="13" t="s">
        <v>10</v>
      </c>
      <c r="D1163" s="13" t="s">
        <v>16</v>
      </c>
      <c r="E1163" s="13">
        <v>9</v>
      </c>
      <c r="F1163" s="14">
        <v>11804</v>
      </c>
      <c r="G1163" s="14">
        <v>106236</v>
      </c>
      <c r="H1163" s="13" t="s">
        <v>45</v>
      </c>
      <c r="I1163" s="13" t="s">
        <v>46</v>
      </c>
    </row>
    <row r="1164" spans="1:9" x14ac:dyDescent="0.3">
      <c r="A1164" s="12">
        <v>45941</v>
      </c>
      <c r="B1164" s="13" t="s">
        <v>20</v>
      </c>
      <c r="C1164" s="13" t="s">
        <v>22</v>
      </c>
      <c r="D1164" s="13" t="s">
        <v>28</v>
      </c>
      <c r="E1164" s="13">
        <v>1</v>
      </c>
      <c r="F1164" s="14">
        <v>8265</v>
      </c>
      <c r="G1164" s="14">
        <v>8265</v>
      </c>
      <c r="H1164" s="13" t="s">
        <v>45</v>
      </c>
      <c r="I1164" s="13" t="s">
        <v>46</v>
      </c>
    </row>
    <row r="1165" spans="1:9" x14ac:dyDescent="0.3">
      <c r="A1165" s="12">
        <v>45941</v>
      </c>
      <c r="B1165" s="13" t="s">
        <v>9</v>
      </c>
      <c r="C1165" s="13" t="s">
        <v>21</v>
      </c>
      <c r="D1165" s="13" t="s">
        <v>14</v>
      </c>
      <c r="E1165" s="13">
        <v>9</v>
      </c>
      <c r="F1165" s="14">
        <v>3361</v>
      </c>
      <c r="G1165" s="14">
        <v>30249</v>
      </c>
      <c r="H1165" s="13" t="s">
        <v>45</v>
      </c>
      <c r="I1165" s="13" t="s">
        <v>46</v>
      </c>
    </row>
    <row r="1166" spans="1:9" x14ac:dyDescent="0.3">
      <c r="A1166" s="12">
        <v>45941</v>
      </c>
      <c r="B1166" s="13" t="s">
        <v>23</v>
      </c>
      <c r="C1166" s="13" t="s">
        <v>19</v>
      </c>
      <c r="D1166" s="13" t="s">
        <v>16</v>
      </c>
      <c r="E1166" s="13">
        <v>5</v>
      </c>
      <c r="F1166" s="14">
        <v>17553</v>
      </c>
      <c r="G1166" s="14">
        <v>87765</v>
      </c>
      <c r="H1166" s="13" t="s">
        <v>45</v>
      </c>
      <c r="I1166" s="13" t="s">
        <v>46</v>
      </c>
    </row>
    <row r="1167" spans="1:9" x14ac:dyDescent="0.3">
      <c r="A1167" s="12">
        <v>45942</v>
      </c>
      <c r="B1167" s="13" t="s">
        <v>9</v>
      </c>
      <c r="C1167" s="13" t="s">
        <v>22</v>
      </c>
      <c r="D1167" s="13" t="s">
        <v>14</v>
      </c>
      <c r="E1167" s="13">
        <v>1</v>
      </c>
      <c r="F1167" s="14">
        <v>8350</v>
      </c>
      <c r="G1167" s="14">
        <v>8350</v>
      </c>
      <c r="H1167" s="13" t="s">
        <v>45</v>
      </c>
      <c r="I1167" s="13" t="s">
        <v>46</v>
      </c>
    </row>
    <row r="1168" spans="1:9" x14ac:dyDescent="0.3">
      <c r="A1168" s="12">
        <v>45942</v>
      </c>
      <c r="B1168" s="13" t="s">
        <v>17</v>
      </c>
      <c r="C1168" s="13" t="s">
        <v>22</v>
      </c>
      <c r="D1168" s="13" t="s">
        <v>14</v>
      </c>
      <c r="E1168" s="13">
        <v>2</v>
      </c>
      <c r="F1168" s="14">
        <v>7669</v>
      </c>
      <c r="G1168" s="14">
        <v>15338</v>
      </c>
      <c r="H1168" s="13" t="s">
        <v>45</v>
      </c>
      <c r="I1168" s="13" t="s">
        <v>46</v>
      </c>
    </row>
    <row r="1169" spans="1:9" x14ac:dyDescent="0.3">
      <c r="A1169" s="12">
        <v>45943</v>
      </c>
      <c r="B1169" s="13" t="s">
        <v>17</v>
      </c>
      <c r="C1169" s="13" t="s">
        <v>21</v>
      </c>
      <c r="D1169" s="13" t="s">
        <v>27</v>
      </c>
      <c r="E1169" s="13">
        <v>2</v>
      </c>
      <c r="F1169" s="14">
        <v>3568</v>
      </c>
      <c r="G1169" s="14">
        <v>7136</v>
      </c>
      <c r="H1169" s="13" t="s">
        <v>45</v>
      </c>
      <c r="I1169" s="13" t="s">
        <v>46</v>
      </c>
    </row>
    <row r="1170" spans="1:9" x14ac:dyDescent="0.3">
      <c r="A1170" s="12">
        <v>45943</v>
      </c>
      <c r="B1170" s="13" t="s">
        <v>20</v>
      </c>
      <c r="C1170" s="13" t="s">
        <v>19</v>
      </c>
      <c r="D1170" s="13" t="s">
        <v>24</v>
      </c>
      <c r="E1170" s="13">
        <v>2</v>
      </c>
      <c r="F1170" s="14">
        <v>18249</v>
      </c>
      <c r="G1170" s="14">
        <v>36498</v>
      </c>
      <c r="H1170" s="13" t="s">
        <v>45</v>
      </c>
      <c r="I1170" s="13" t="s">
        <v>46</v>
      </c>
    </row>
    <row r="1171" spans="1:9" x14ac:dyDescent="0.3">
      <c r="A1171" s="12">
        <v>45943</v>
      </c>
      <c r="B1171" s="13" t="s">
        <v>20</v>
      </c>
      <c r="C1171" s="13" t="s">
        <v>21</v>
      </c>
      <c r="D1171" s="13" t="s">
        <v>26</v>
      </c>
      <c r="E1171" s="13">
        <v>5</v>
      </c>
      <c r="F1171" s="14">
        <v>3381</v>
      </c>
      <c r="G1171" s="14">
        <v>16905</v>
      </c>
      <c r="H1171" s="13" t="s">
        <v>45</v>
      </c>
      <c r="I1171" s="13" t="s">
        <v>46</v>
      </c>
    </row>
    <row r="1172" spans="1:9" x14ac:dyDescent="0.3">
      <c r="A1172" s="12">
        <v>45943</v>
      </c>
      <c r="B1172" s="13" t="s">
        <v>9</v>
      </c>
      <c r="C1172" s="13" t="s">
        <v>19</v>
      </c>
      <c r="D1172" s="13" t="s">
        <v>28</v>
      </c>
      <c r="E1172" s="13">
        <v>7</v>
      </c>
      <c r="F1172" s="14">
        <v>17799</v>
      </c>
      <c r="G1172" s="14">
        <v>124593</v>
      </c>
      <c r="H1172" s="13" t="s">
        <v>45</v>
      </c>
      <c r="I1172" s="13" t="s">
        <v>46</v>
      </c>
    </row>
    <row r="1173" spans="1:9" x14ac:dyDescent="0.3">
      <c r="A1173" s="12">
        <v>45943</v>
      </c>
      <c r="B1173" s="13" t="s">
        <v>9</v>
      </c>
      <c r="C1173" s="13" t="s">
        <v>19</v>
      </c>
      <c r="D1173" s="13" t="s">
        <v>11</v>
      </c>
      <c r="E1173" s="13">
        <v>3</v>
      </c>
      <c r="F1173" s="14">
        <v>17893</v>
      </c>
      <c r="G1173" s="14">
        <v>53679</v>
      </c>
      <c r="H1173" s="13" t="s">
        <v>45</v>
      </c>
      <c r="I1173" s="13" t="s">
        <v>46</v>
      </c>
    </row>
    <row r="1174" spans="1:9" x14ac:dyDescent="0.3">
      <c r="A1174" s="12">
        <v>45943</v>
      </c>
      <c r="B1174" s="13" t="s">
        <v>23</v>
      </c>
      <c r="C1174" s="13" t="s">
        <v>15</v>
      </c>
      <c r="D1174" s="13" t="s">
        <v>18</v>
      </c>
      <c r="E1174" s="13">
        <v>3</v>
      </c>
      <c r="F1174" s="14">
        <v>22320</v>
      </c>
      <c r="G1174" s="14">
        <v>66960</v>
      </c>
      <c r="H1174" s="13" t="s">
        <v>45</v>
      </c>
      <c r="I1174" s="13" t="s">
        <v>46</v>
      </c>
    </row>
    <row r="1175" spans="1:9" x14ac:dyDescent="0.3">
      <c r="A1175" s="12">
        <v>45944</v>
      </c>
      <c r="B1175" s="13" t="s">
        <v>17</v>
      </c>
      <c r="C1175" s="13" t="s">
        <v>22</v>
      </c>
      <c r="D1175" s="13" t="s">
        <v>18</v>
      </c>
      <c r="E1175" s="13">
        <v>4</v>
      </c>
      <c r="F1175" s="14">
        <v>8091</v>
      </c>
      <c r="G1175" s="14">
        <v>32364</v>
      </c>
      <c r="H1175" s="13" t="s">
        <v>45</v>
      </c>
      <c r="I1175" s="13" t="s">
        <v>46</v>
      </c>
    </row>
    <row r="1176" spans="1:9" x14ac:dyDescent="0.3">
      <c r="A1176" s="12">
        <v>45944</v>
      </c>
      <c r="B1176" s="13" t="s">
        <v>9</v>
      </c>
      <c r="C1176" s="13" t="s">
        <v>21</v>
      </c>
      <c r="D1176" s="13" t="s">
        <v>11</v>
      </c>
      <c r="E1176" s="13">
        <v>2</v>
      </c>
      <c r="F1176" s="14">
        <v>3337</v>
      </c>
      <c r="G1176" s="14">
        <v>6674</v>
      </c>
      <c r="H1176" s="13" t="s">
        <v>45</v>
      </c>
      <c r="I1176" s="13" t="s">
        <v>46</v>
      </c>
    </row>
    <row r="1177" spans="1:9" x14ac:dyDescent="0.3">
      <c r="A1177" s="12">
        <v>45945</v>
      </c>
      <c r="B1177" s="13" t="s">
        <v>20</v>
      </c>
      <c r="C1177" s="13" t="s">
        <v>21</v>
      </c>
      <c r="D1177" s="13" t="s">
        <v>28</v>
      </c>
      <c r="E1177" s="13">
        <v>8</v>
      </c>
      <c r="F1177" s="14">
        <v>3377</v>
      </c>
      <c r="G1177" s="14">
        <v>27016</v>
      </c>
      <c r="H1177" s="13" t="s">
        <v>45</v>
      </c>
      <c r="I1177" s="13" t="s">
        <v>46</v>
      </c>
    </row>
    <row r="1178" spans="1:9" x14ac:dyDescent="0.3">
      <c r="A1178" s="12">
        <v>45945</v>
      </c>
      <c r="B1178" s="13" t="s">
        <v>9</v>
      </c>
      <c r="C1178" s="13" t="s">
        <v>25</v>
      </c>
      <c r="D1178" s="13" t="s">
        <v>18</v>
      </c>
      <c r="E1178" s="13">
        <v>5</v>
      </c>
      <c r="F1178" s="14">
        <v>53083</v>
      </c>
      <c r="G1178" s="14">
        <v>265415</v>
      </c>
      <c r="H1178" s="13" t="s">
        <v>45</v>
      </c>
      <c r="I1178" s="13" t="s">
        <v>46</v>
      </c>
    </row>
    <row r="1179" spans="1:9" x14ac:dyDescent="0.3">
      <c r="A1179" s="12">
        <v>45946</v>
      </c>
      <c r="B1179" s="13" t="s">
        <v>23</v>
      </c>
      <c r="C1179" s="13" t="s">
        <v>22</v>
      </c>
      <c r="D1179" s="13" t="s">
        <v>28</v>
      </c>
      <c r="E1179" s="13">
        <v>9</v>
      </c>
      <c r="F1179" s="14">
        <v>8166</v>
      </c>
      <c r="G1179" s="14">
        <v>73494</v>
      </c>
      <c r="H1179" s="13" t="s">
        <v>45</v>
      </c>
      <c r="I1179" s="13" t="s">
        <v>46</v>
      </c>
    </row>
    <row r="1180" spans="1:9" x14ac:dyDescent="0.3">
      <c r="A1180" s="12">
        <v>45946</v>
      </c>
      <c r="B1180" s="13" t="s">
        <v>23</v>
      </c>
      <c r="C1180" s="13" t="s">
        <v>21</v>
      </c>
      <c r="D1180" s="13" t="s">
        <v>18</v>
      </c>
      <c r="E1180" s="13">
        <v>7</v>
      </c>
      <c r="F1180" s="14">
        <v>3620</v>
      </c>
      <c r="G1180" s="14">
        <v>25340</v>
      </c>
      <c r="H1180" s="13" t="s">
        <v>45</v>
      </c>
      <c r="I1180" s="13" t="s">
        <v>46</v>
      </c>
    </row>
    <row r="1181" spans="1:9" x14ac:dyDescent="0.3">
      <c r="A1181" s="12">
        <v>45946</v>
      </c>
      <c r="B1181" s="13" t="s">
        <v>9</v>
      </c>
      <c r="C1181" s="13" t="s">
        <v>22</v>
      </c>
      <c r="D1181" s="13" t="s">
        <v>16</v>
      </c>
      <c r="E1181" s="13">
        <v>1</v>
      </c>
      <c r="F1181" s="14">
        <v>7907</v>
      </c>
      <c r="G1181" s="14">
        <v>7907</v>
      </c>
      <c r="H1181" s="13" t="s">
        <v>45</v>
      </c>
      <c r="I1181" s="13" t="s">
        <v>46</v>
      </c>
    </row>
    <row r="1182" spans="1:9" x14ac:dyDescent="0.3">
      <c r="A1182" s="12">
        <v>45946</v>
      </c>
      <c r="B1182" s="13" t="s">
        <v>23</v>
      </c>
      <c r="C1182" s="13" t="s">
        <v>25</v>
      </c>
      <c r="D1182" s="13" t="s">
        <v>26</v>
      </c>
      <c r="E1182" s="13">
        <v>6</v>
      </c>
      <c r="F1182" s="14">
        <v>56000</v>
      </c>
      <c r="G1182" s="14">
        <v>336000</v>
      </c>
      <c r="H1182" s="13" t="s">
        <v>45</v>
      </c>
      <c r="I1182" s="13" t="s">
        <v>46</v>
      </c>
    </row>
    <row r="1183" spans="1:9" x14ac:dyDescent="0.3">
      <c r="A1183" s="12">
        <v>45947</v>
      </c>
      <c r="B1183" s="13" t="s">
        <v>9</v>
      </c>
      <c r="C1183" s="13" t="s">
        <v>10</v>
      </c>
      <c r="D1183" s="13" t="s">
        <v>14</v>
      </c>
      <c r="E1183" s="13">
        <v>6</v>
      </c>
      <c r="F1183" s="14">
        <v>12041</v>
      </c>
      <c r="G1183" s="14">
        <v>72246</v>
      </c>
      <c r="H1183" s="13" t="s">
        <v>45</v>
      </c>
      <c r="I1183" s="13" t="s">
        <v>46</v>
      </c>
    </row>
    <row r="1184" spans="1:9" x14ac:dyDescent="0.3">
      <c r="A1184" s="12">
        <v>45947</v>
      </c>
      <c r="B1184" s="13" t="s">
        <v>20</v>
      </c>
      <c r="C1184" s="13" t="s">
        <v>25</v>
      </c>
      <c r="D1184" s="13" t="s">
        <v>24</v>
      </c>
      <c r="E1184" s="13">
        <v>5</v>
      </c>
      <c r="F1184" s="14">
        <v>55812</v>
      </c>
      <c r="G1184" s="14">
        <v>279060</v>
      </c>
      <c r="H1184" s="13" t="s">
        <v>45</v>
      </c>
      <c r="I1184" s="13" t="s">
        <v>46</v>
      </c>
    </row>
    <row r="1185" spans="1:9" x14ac:dyDescent="0.3">
      <c r="A1185" s="12">
        <v>45947</v>
      </c>
      <c r="B1185" s="13" t="s">
        <v>17</v>
      </c>
      <c r="C1185" s="13" t="s">
        <v>22</v>
      </c>
      <c r="D1185" s="13" t="s">
        <v>28</v>
      </c>
      <c r="E1185" s="13">
        <v>7</v>
      </c>
      <c r="F1185" s="14">
        <v>8128</v>
      </c>
      <c r="G1185" s="14">
        <v>56896</v>
      </c>
      <c r="H1185" s="13" t="s">
        <v>45</v>
      </c>
      <c r="I1185" s="13" t="s">
        <v>46</v>
      </c>
    </row>
    <row r="1186" spans="1:9" x14ac:dyDescent="0.3">
      <c r="A1186" s="12">
        <v>45947</v>
      </c>
      <c r="B1186" s="13" t="s">
        <v>20</v>
      </c>
      <c r="C1186" s="13" t="s">
        <v>10</v>
      </c>
      <c r="D1186" s="13" t="s">
        <v>18</v>
      </c>
      <c r="E1186" s="13">
        <v>2</v>
      </c>
      <c r="F1186" s="14">
        <v>12156</v>
      </c>
      <c r="G1186" s="14">
        <v>24312</v>
      </c>
      <c r="H1186" s="13" t="s">
        <v>45</v>
      </c>
      <c r="I1186" s="13" t="s">
        <v>46</v>
      </c>
    </row>
    <row r="1187" spans="1:9" x14ac:dyDescent="0.3">
      <c r="A1187" s="12">
        <v>45947</v>
      </c>
      <c r="B1187" s="13" t="s">
        <v>20</v>
      </c>
      <c r="C1187" s="13" t="s">
        <v>21</v>
      </c>
      <c r="D1187" s="13" t="s">
        <v>14</v>
      </c>
      <c r="E1187" s="13">
        <v>8</v>
      </c>
      <c r="F1187" s="14">
        <v>3582</v>
      </c>
      <c r="G1187" s="14">
        <v>28656</v>
      </c>
      <c r="H1187" s="13" t="s">
        <v>45</v>
      </c>
      <c r="I1187" s="13" t="s">
        <v>46</v>
      </c>
    </row>
    <row r="1188" spans="1:9" x14ac:dyDescent="0.3">
      <c r="A1188" s="12">
        <v>45948</v>
      </c>
      <c r="B1188" s="13" t="s">
        <v>9</v>
      </c>
      <c r="C1188" s="13" t="s">
        <v>15</v>
      </c>
      <c r="D1188" s="13" t="s">
        <v>28</v>
      </c>
      <c r="E1188" s="13">
        <v>10</v>
      </c>
      <c r="F1188" s="14">
        <v>21424</v>
      </c>
      <c r="G1188" s="14">
        <v>214240</v>
      </c>
      <c r="H1188" s="13" t="s">
        <v>45</v>
      </c>
      <c r="I1188" s="13" t="s">
        <v>46</v>
      </c>
    </row>
    <row r="1189" spans="1:9" x14ac:dyDescent="0.3">
      <c r="A1189" s="12">
        <v>45948</v>
      </c>
      <c r="B1189" s="13" t="s">
        <v>23</v>
      </c>
      <c r="C1189" s="13" t="s">
        <v>25</v>
      </c>
      <c r="D1189" s="13" t="s">
        <v>11</v>
      </c>
      <c r="E1189" s="13">
        <v>8</v>
      </c>
      <c r="F1189" s="14">
        <v>55186</v>
      </c>
      <c r="G1189" s="14">
        <v>441488</v>
      </c>
      <c r="H1189" s="13" t="s">
        <v>45</v>
      </c>
      <c r="I1189" s="13" t="s">
        <v>46</v>
      </c>
    </row>
    <row r="1190" spans="1:9" x14ac:dyDescent="0.3">
      <c r="A1190" s="12">
        <v>45948</v>
      </c>
      <c r="B1190" s="13" t="s">
        <v>23</v>
      </c>
      <c r="C1190" s="13" t="s">
        <v>25</v>
      </c>
      <c r="D1190" s="13" t="s">
        <v>28</v>
      </c>
      <c r="E1190" s="13">
        <v>6</v>
      </c>
      <c r="F1190" s="14">
        <v>52558</v>
      </c>
      <c r="G1190" s="14">
        <v>315348</v>
      </c>
      <c r="H1190" s="13" t="s">
        <v>45</v>
      </c>
      <c r="I1190" s="13" t="s">
        <v>46</v>
      </c>
    </row>
    <row r="1191" spans="1:9" x14ac:dyDescent="0.3">
      <c r="A1191" s="12">
        <v>45949</v>
      </c>
      <c r="B1191" s="13" t="s">
        <v>23</v>
      </c>
      <c r="C1191" s="13" t="s">
        <v>25</v>
      </c>
      <c r="D1191" s="13" t="s">
        <v>16</v>
      </c>
      <c r="E1191" s="13">
        <v>9</v>
      </c>
      <c r="F1191" s="14">
        <v>54771</v>
      </c>
      <c r="G1191" s="14">
        <v>492939</v>
      </c>
      <c r="H1191" s="13" t="s">
        <v>45</v>
      </c>
      <c r="I1191" s="13" t="s">
        <v>46</v>
      </c>
    </row>
    <row r="1192" spans="1:9" x14ac:dyDescent="0.3">
      <c r="A1192" s="12">
        <v>45949</v>
      </c>
      <c r="B1192" s="13" t="s">
        <v>17</v>
      </c>
      <c r="C1192" s="13" t="s">
        <v>10</v>
      </c>
      <c r="D1192" s="13" t="s">
        <v>16</v>
      </c>
      <c r="E1192" s="13">
        <v>2</v>
      </c>
      <c r="F1192" s="14">
        <v>11444</v>
      </c>
      <c r="G1192" s="14">
        <v>22888</v>
      </c>
      <c r="H1192" s="13" t="s">
        <v>45</v>
      </c>
      <c r="I1192" s="13" t="s">
        <v>46</v>
      </c>
    </row>
    <row r="1193" spans="1:9" x14ac:dyDescent="0.3">
      <c r="A1193" s="12">
        <v>45950</v>
      </c>
      <c r="B1193" s="13" t="s">
        <v>23</v>
      </c>
      <c r="C1193" s="13" t="s">
        <v>10</v>
      </c>
      <c r="D1193" s="13" t="s">
        <v>28</v>
      </c>
      <c r="E1193" s="13">
        <v>8</v>
      </c>
      <c r="F1193" s="14">
        <v>12488</v>
      </c>
      <c r="G1193" s="14">
        <v>99904</v>
      </c>
      <c r="H1193" s="13" t="s">
        <v>45</v>
      </c>
      <c r="I1193" s="13" t="s">
        <v>46</v>
      </c>
    </row>
    <row r="1194" spans="1:9" x14ac:dyDescent="0.3">
      <c r="A1194" s="12">
        <v>45950</v>
      </c>
      <c r="B1194" s="13" t="s">
        <v>9</v>
      </c>
      <c r="C1194" s="13" t="s">
        <v>15</v>
      </c>
      <c r="D1194" s="13" t="s">
        <v>27</v>
      </c>
      <c r="E1194" s="13">
        <v>1</v>
      </c>
      <c r="F1194" s="14">
        <v>21278</v>
      </c>
      <c r="G1194" s="14">
        <v>21278</v>
      </c>
      <c r="H1194" s="13" t="s">
        <v>45</v>
      </c>
      <c r="I1194" s="13" t="s">
        <v>46</v>
      </c>
    </row>
    <row r="1195" spans="1:9" x14ac:dyDescent="0.3">
      <c r="A1195" s="12">
        <v>45950</v>
      </c>
      <c r="B1195" s="13" t="s">
        <v>9</v>
      </c>
      <c r="C1195" s="13" t="s">
        <v>19</v>
      </c>
      <c r="D1195" s="13" t="s">
        <v>14</v>
      </c>
      <c r="E1195" s="13">
        <v>8</v>
      </c>
      <c r="F1195" s="14">
        <v>18200</v>
      </c>
      <c r="G1195" s="14">
        <v>145600</v>
      </c>
      <c r="H1195" s="13" t="s">
        <v>45</v>
      </c>
      <c r="I1195" s="13" t="s">
        <v>46</v>
      </c>
    </row>
    <row r="1196" spans="1:9" x14ac:dyDescent="0.3">
      <c r="A1196" s="12">
        <v>45951</v>
      </c>
      <c r="B1196" s="13" t="s">
        <v>9</v>
      </c>
      <c r="C1196" s="13" t="s">
        <v>25</v>
      </c>
      <c r="D1196" s="13" t="s">
        <v>14</v>
      </c>
      <c r="E1196" s="13">
        <v>8</v>
      </c>
      <c r="F1196" s="14">
        <v>55522</v>
      </c>
      <c r="G1196" s="14">
        <v>444176</v>
      </c>
      <c r="H1196" s="13" t="s">
        <v>45</v>
      </c>
      <c r="I1196" s="13" t="s">
        <v>46</v>
      </c>
    </row>
    <row r="1197" spans="1:9" x14ac:dyDescent="0.3">
      <c r="A1197" s="12">
        <v>45951</v>
      </c>
      <c r="B1197" s="13" t="s">
        <v>17</v>
      </c>
      <c r="C1197" s="13" t="s">
        <v>25</v>
      </c>
      <c r="D1197" s="13" t="s">
        <v>16</v>
      </c>
      <c r="E1197" s="13">
        <v>7</v>
      </c>
      <c r="F1197" s="14">
        <v>54105</v>
      </c>
      <c r="G1197" s="14">
        <v>378735</v>
      </c>
      <c r="H1197" s="13" t="s">
        <v>45</v>
      </c>
      <c r="I1197" s="13" t="s">
        <v>46</v>
      </c>
    </row>
    <row r="1198" spans="1:9" x14ac:dyDescent="0.3">
      <c r="A1198" s="12">
        <v>45951</v>
      </c>
      <c r="B1198" s="13" t="s">
        <v>23</v>
      </c>
      <c r="C1198" s="13" t="s">
        <v>19</v>
      </c>
      <c r="D1198" s="13" t="s">
        <v>14</v>
      </c>
      <c r="E1198" s="13">
        <v>10</v>
      </c>
      <c r="F1198" s="14">
        <v>18082</v>
      </c>
      <c r="G1198" s="14">
        <v>180820</v>
      </c>
      <c r="H1198" s="13" t="s">
        <v>45</v>
      </c>
      <c r="I1198" s="13" t="s">
        <v>46</v>
      </c>
    </row>
    <row r="1199" spans="1:9" x14ac:dyDescent="0.3">
      <c r="A1199" s="12">
        <v>45951</v>
      </c>
      <c r="B1199" s="13" t="s">
        <v>20</v>
      </c>
      <c r="C1199" s="13" t="s">
        <v>15</v>
      </c>
      <c r="D1199" s="13" t="s">
        <v>28</v>
      </c>
      <c r="E1199" s="13">
        <v>10</v>
      </c>
      <c r="F1199" s="14">
        <v>21281</v>
      </c>
      <c r="G1199" s="14">
        <v>212810</v>
      </c>
      <c r="H1199" s="13" t="s">
        <v>45</v>
      </c>
      <c r="I1199" s="13" t="s">
        <v>46</v>
      </c>
    </row>
    <row r="1200" spans="1:9" x14ac:dyDescent="0.3">
      <c r="A1200" s="12">
        <v>45951</v>
      </c>
      <c r="B1200" s="13" t="s">
        <v>9</v>
      </c>
      <c r="C1200" s="13" t="s">
        <v>25</v>
      </c>
      <c r="D1200" s="13" t="s">
        <v>11</v>
      </c>
      <c r="E1200" s="13">
        <v>3</v>
      </c>
      <c r="F1200" s="14">
        <v>56416</v>
      </c>
      <c r="G1200" s="14">
        <v>169248</v>
      </c>
      <c r="H1200" s="13" t="s">
        <v>45</v>
      </c>
      <c r="I1200" s="13" t="s">
        <v>46</v>
      </c>
    </row>
    <row r="1201" spans="1:9" x14ac:dyDescent="0.3">
      <c r="A1201" s="12">
        <v>45951</v>
      </c>
      <c r="B1201" s="13" t="s">
        <v>17</v>
      </c>
      <c r="C1201" s="13" t="s">
        <v>10</v>
      </c>
      <c r="D1201" s="13" t="s">
        <v>26</v>
      </c>
      <c r="E1201" s="13">
        <v>9</v>
      </c>
      <c r="F1201" s="14">
        <v>11598</v>
      </c>
      <c r="G1201" s="14">
        <v>104382</v>
      </c>
      <c r="H1201" s="13" t="s">
        <v>45</v>
      </c>
      <c r="I1201" s="13" t="s">
        <v>46</v>
      </c>
    </row>
    <row r="1202" spans="1:9" x14ac:dyDescent="0.3">
      <c r="A1202" s="12">
        <v>45952</v>
      </c>
      <c r="B1202" s="13" t="s">
        <v>9</v>
      </c>
      <c r="C1202" s="13" t="s">
        <v>15</v>
      </c>
      <c r="D1202" s="13" t="s">
        <v>14</v>
      </c>
      <c r="E1202" s="13">
        <v>10</v>
      </c>
      <c r="F1202" s="14">
        <v>21727</v>
      </c>
      <c r="G1202" s="14">
        <v>217270</v>
      </c>
      <c r="H1202" s="13" t="s">
        <v>45</v>
      </c>
      <c r="I1202" s="13" t="s">
        <v>46</v>
      </c>
    </row>
    <row r="1203" spans="1:9" x14ac:dyDescent="0.3">
      <c r="A1203" s="12">
        <v>45952</v>
      </c>
      <c r="B1203" s="13" t="s">
        <v>17</v>
      </c>
      <c r="C1203" s="13" t="s">
        <v>25</v>
      </c>
      <c r="D1203" s="13" t="s">
        <v>24</v>
      </c>
      <c r="E1203" s="13">
        <v>2</v>
      </c>
      <c r="F1203" s="14">
        <v>52284</v>
      </c>
      <c r="G1203" s="14">
        <v>104568</v>
      </c>
      <c r="H1203" s="13" t="s">
        <v>45</v>
      </c>
      <c r="I1203" s="13" t="s">
        <v>46</v>
      </c>
    </row>
    <row r="1204" spans="1:9" x14ac:dyDescent="0.3">
      <c r="A1204" s="12">
        <v>45952</v>
      </c>
      <c r="B1204" s="13" t="s">
        <v>17</v>
      </c>
      <c r="C1204" s="13" t="s">
        <v>25</v>
      </c>
      <c r="D1204" s="13" t="s">
        <v>11</v>
      </c>
      <c r="E1204" s="13">
        <v>7</v>
      </c>
      <c r="F1204" s="14">
        <v>56064</v>
      </c>
      <c r="G1204" s="14">
        <v>392448</v>
      </c>
      <c r="H1204" s="13" t="s">
        <v>45</v>
      </c>
      <c r="I1204" s="13" t="s">
        <v>46</v>
      </c>
    </row>
    <row r="1205" spans="1:9" x14ac:dyDescent="0.3">
      <c r="A1205" s="12">
        <v>45953</v>
      </c>
      <c r="B1205" s="13" t="s">
        <v>17</v>
      </c>
      <c r="C1205" s="13" t="s">
        <v>15</v>
      </c>
      <c r="D1205" s="13" t="s">
        <v>27</v>
      </c>
      <c r="E1205" s="13">
        <v>5</v>
      </c>
      <c r="F1205" s="14">
        <v>22050</v>
      </c>
      <c r="G1205" s="14">
        <v>110250</v>
      </c>
      <c r="H1205" s="13" t="s">
        <v>45</v>
      </c>
      <c r="I1205" s="13" t="s">
        <v>46</v>
      </c>
    </row>
    <row r="1206" spans="1:9" x14ac:dyDescent="0.3">
      <c r="A1206" s="12">
        <v>45953</v>
      </c>
      <c r="B1206" s="13" t="s">
        <v>23</v>
      </c>
      <c r="C1206" s="13" t="s">
        <v>15</v>
      </c>
      <c r="D1206" s="13" t="s">
        <v>27</v>
      </c>
      <c r="E1206" s="13">
        <v>10</v>
      </c>
      <c r="F1206" s="14">
        <v>22421</v>
      </c>
      <c r="G1206" s="14">
        <v>224210</v>
      </c>
      <c r="H1206" s="13" t="s">
        <v>45</v>
      </c>
      <c r="I1206" s="13" t="s">
        <v>46</v>
      </c>
    </row>
    <row r="1207" spans="1:9" x14ac:dyDescent="0.3">
      <c r="A1207" s="12">
        <v>45953</v>
      </c>
      <c r="B1207" s="13" t="s">
        <v>17</v>
      </c>
      <c r="C1207" s="13" t="s">
        <v>10</v>
      </c>
      <c r="D1207" s="13" t="s">
        <v>24</v>
      </c>
      <c r="E1207" s="13">
        <v>10</v>
      </c>
      <c r="F1207" s="14">
        <v>12540</v>
      </c>
      <c r="G1207" s="14">
        <v>125400</v>
      </c>
      <c r="H1207" s="13" t="s">
        <v>45</v>
      </c>
      <c r="I1207" s="13" t="s">
        <v>46</v>
      </c>
    </row>
    <row r="1208" spans="1:9" x14ac:dyDescent="0.3">
      <c r="A1208" s="12">
        <v>45953</v>
      </c>
      <c r="B1208" s="13" t="s">
        <v>20</v>
      </c>
      <c r="C1208" s="13" t="s">
        <v>19</v>
      </c>
      <c r="D1208" s="13" t="s">
        <v>18</v>
      </c>
      <c r="E1208" s="13">
        <v>1</v>
      </c>
      <c r="F1208" s="14">
        <v>18103</v>
      </c>
      <c r="G1208" s="14">
        <v>18103</v>
      </c>
      <c r="H1208" s="13" t="s">
        <v>45</v>
      </c>
      <c r="I1208" s="13" t="s">
        <v>46</v>
      </c>
    </row>
    <row r="1209" spans="1:9" x14ac:dyDescent="0.3">
      <c r="A1209" s="12">
        <v>45953</v>
      </c>
      <c r="B1209" s="13" t="s">
        <v>17</v>
      </c>
      <c r="C1209" s="13" t="s">
        <v>25</v>
      </c>
      <c r="D1209" s="13" t="s">
        <v>14</v>
      </c>
      <c r="E1209" s="13">
        <v>10</v>
      </c>
      <c r="F1209" s="14">
        <v>54240</v>
      </c>
      <c r="G1209" s="14">
        <v>542400</v>
      </c>
      <c r="H1209" s="13" t="s">
        <v>45</v>
      </c>
      <c r="I1209" s="13" t="s">
        <v>46</v>
      </c>
    </row>
    <row r="1210" spans="1:9" x14ac:dyDescent="0.3">
      <c r="A1210" s="12">
        <v>45954</v>
      </c>
      <c r="B1210" s="13" t="s">
        <v>17</v>
      </c>
      <c r="C1210" s="13" t="s">
        <v>21</v>
      </c>
      <c r="D1210" s="13" t="s">
        <v>16</v>
      </c>
      <c r="E1210" s="13">
        <v>5</v>
      </c>
      <c r="F1210" s="14">
        <v>3343</v>
      </c>
      <c r="G1210" s="14">
        <v>16715</v>
      </c>
      <c r="H1210" s="13" t="s">
        <v>45</v>
      </c>
      <c r="I1210" s="13" t="s">
        <v>46</v>
      </c>
    </row>
    <row r="1211" spans="1:9" x14ac:dyDescent="0.3">
      <c r="A1211" s="12">
        <v>45954</v>
      </c>
      <c r="B1211" s="13" t="s">
        <v>9</v>
      </c>
      <c r="C1211" s="13" t="s">
        <v>15</v>
      </c>
      <c r="D1211" s="13" t="s">
        <v>24</v>
      </c>
      <c r="E1211" s="13">
        <v>8</v>
      </c>
      <c r="F1211" s="14">
        <v>21287</v>
      </c>
      <c r="G1211" s="14">
        <v>170296</v>
      </c>
      <c r="H1211" s="13" t="s">
        <v>45</v>
      </c>
      <c r="I1211" s="13" t="s">
        <v>46</v>
      </c>
    </row>
    <row r="1212" spans="1:9" x14ac:dyDescent="0.3">
      <c r="A1212" s="12">
        <v>45954</v>
      </c>
      <c r="B1212" s="13" t="s">
        <v>9</v>
      </c>
      <c r="C1212" s="13" t="s">
        <v>25</v>
      </c>
      <c r="D1212" s="13" t="s">
        <v>26</v>
      </c>
      <c r="E1212" s="13">
        <v>5</v>
      </c>
      <c r="F1212" s="14">
        <v>53402</v>
      </c>
      <c r="G1212" s="14">
        <v>267010</v>
      </c>
      <c r="H1212" s="13" t="s">
        <v>45</v>
      </c>
      <c r="I1212" s="13" t="s">
        <v>46</v>
      </c>
    </row>
    <row r="1213" spans="1:9" x14ac:dyDescent="0.3">
      <c r="A1213" s="12">
        <v>45954</v>
      </c>
      <c r="B1213" s="13" t="s">
        <v>20</v>
      </c>
      <c r="C1213" s="13" t="s">
        <v>19</v>
      </c>
      <c r="D1213" s="13" t="s">
        <v>24</v>
      </c>
      <c r="E1213" s="13">
        <v>1</v>
      </c>
      <c r="F1213" s="14">
        <v>17287</v>
      </c>
      <c r="G1213" s="14">
        <v>17287</v>
      </c>
      <c r="H1213" s="13" t="s">
        <v>45</v>
      </c>
      <c r="I1213" s="13" t="s">
        <v>46</v>
      </c>
    </row>
    <row r="1214" spans="1:9" x14ac:dyDescent="0.3">
      <c r="A1214" s="12">
        <v>45954</v>
      </c>
      <c r="B1214" s="13" t="s">
        <v>9</v>
      </c>
      <c r="C1214" s="13" t="s">
        <v>22</v>
      </c>
      <c r="D1214" s="13" t="s">
        <v>27</v>
      </c>
      <c r="E1214" s="13">
        <v>3</v>
      </c>
      <c r="F1214" s="14">
        <v>8228</v>
      </c>
      <c r="G1214" s="14">
        <v>24684</v>
      </c>
      <c r="H1214" s="13" t="s">
        <v>45</v>
      </c>
      <c r="I1214" s="13" t="s">
        <v>46</v>
      </c>
    </row>
    <row r="1215" spans="1:9" x14ac:dyDescent="0.3">
      <c r="A1215" s="12">
        <v>45954</v>
      </c>
      <c r="B1215" s="13" t="s">
        <v>23</v>
      </c>
      <c r="C1215" s="13" t="s">
        <v>22</v>
      </c>
      <c r="D1215" s="13" t="s">
        <v>14</v>
      </c>
      <c r="E1215" s="13">
        <v>2</v>
      </c>
      <c r="F1215" s="14">
        <v>8316</v>
      </c>
      <c r="G1215" s="14">
        <v>16632</v>
      </c>
      <c r="H1215" s="13" t="s">
        <v>45</v>
      </c>
      <c r="I1215" s="13" t="s">
        <v>46</v>
      </c>
    </row>
    <row r="1216" spans="1:9" x14ac:dyDescent="0.3">
      <c r="A1216" s="12">
        <v>45955</v>
      </c>
      <c r="B1216" s="13" t="s">
        <v>20</v>
      </c>
      <c r="C1216" s="13" t="s">
        <v>21</v>
      </c>
      <c r="D1216" s="13" t="s">
        <v>16</v>
      </c>
      <c r="E1216" s="13">
        <v>6</v>
      </c>
      <c r="F1216" s="14">
        <v>3405</v>
      </c>
      <c r="G1216" s="14">
        <v>20430</v>
      </c>
      <c r="H1216" s="13" t="s">
        <v>45</v>
      </c>
      <c r="I1216" s="13" t="s">
        <v>46</v>
      </c>
    </row>
    <row r="1217" spans="1:9" x14ac:dyDescent="0.3">
      <c r="A1217" s="12">
        <v>45955</v>
      </c>
      <c r="B1217" s="13" t="s">
        <v>9</v>
      </c>
      <c r="C1217" s="13" t="s">
        <v>19</v>
      </c>
      <c r="D1217" s="13" t="s">
        <v>16</v>
      </c>
      <c r="E1217" s="13">
        <v>2</v>
      </c>
      <c r="F1217" s="14">
        <v>17526</v>
      </c>
      <c r="G1217" s="14">
        <v>35052</v>
      </c>
      <c r="H1217" s="13" t="s">
        <v>45</v>
      </c>
      <c r="I1217" s="13" t="s">
        <v>46</v>
      </c>
    </row>
    <row r="1218" spans="1:9" x14ac:dyDescent="0.3">
      <c r="A1218" s="12">
        <v>45955</v>
      </c>
      <c r="B1218" s="13" t="s">
        <v>23</v>
      </c>
      <c r="C1218" s="13" t="s">
        <v>15</v>
      </c>
      <c r="D1218" s="13" t="s">
        <v>18</v>
      </c>
      <c r="E1218" s="13">
        <v>4</v>
      </c>
      <c r="F1218" s="14">
        <v>21061</v>
      </c>
      <c r="G1218" s="14">
        <v>84244</v>
      </c>
      <c r="H1218" s="13" t="s">
        <v>45</v>
      </c>
      <c r="I1218" s="13" t="s">
        <v>46</v>
      </c>
    </row>
    <row r="1219" spans="1:9" x14ac:dyDescent="0.3">
      <c r="A1219" s="12">
        <v>45955</v>
      </c>
      <c r="B1219" s="13" t="s">
        <v>23</v>
      </c>
      <c r="C1219" s="13" t="s">
        <v>25</v>
      </c>
      <c r="D1219" s="13" t="s">
        <v>18</v>
      </c>
      <c r="E1219" s="13">
        <v>3</v>
      </c>
      <c r="F1219" s="14">
        <v>53438</v>
      </c>
      <c r="G1219" s="14">
        <v>160314</v>
      </c>
      <c r="H1219" s="13" t="s">
        <v>45</v>
      </c>
      <c r="I1219" s="13" t="s">
        <v>46</v>
      </c>
    </row>
    <row r="1220" spans="1:9" x14ac:dyDescent="0.3">
      <c r="A1220" s="12">
        <v>45955</v>
      </c>
      <c r="B1220" s="13" t="s">
        <v>23</v>
      </c>
      <c r="C1220" s="13" t="s">
        <v>15</v>
      </c>
      <c r="D1220" s="13" t="s">
        <v>18</v>
      </c>
      <c r="E1220" s="13">
        <v>6</v>
      </c>
      <c r="F1220" s="14">
        <v>21200</v>
      </c>
      <c r="G1220" s="14">
        <v>127200</v>
      </c>
      <c r="H1220" s="13" t="s">
        <v>45</v>
      </c>
      <c r="I1220" s="13" t="s">
        <v>46</v>
      </c>
    </row>
    <row r="1221" spans="1:9" x14ac:dyDescent="0.3">
      <c r="A1221" s="12">
        <v>45956</v>
      </c>
      <c r="B1221" s="13" t="s">
        <v>20</v>
      </c>
      <c r="C1221" s="13" t="s">
        <v>19</v>
      </c>
      <c r="D1221" s="13" t="s">
        <v>16</v>
      </c>
      <c r="E1221" s="13">
        <v>6</v>
      </c>
      <c r="F1221" s="14">
        <v>17328</v>
      </c>
      <c r="G1221" s="14">
        <v>103968</v>
      </c>
      <c r="H1221" s="13" t="s">
        <v>45</v>
      </c>
      <c r="I1221" s="13" t="s">
        <v>46</v>
      </c>
    </row>
    <row r="1222" spans="1:9" x14ac:dyDescent="0.3">
      <c r="A1222" s="12">
        <v>45956</v>
      </c>
      <c r="B1222" s="13" t="s">
        <v>9</v>
      </c>
      <c r="C1222" s="13" t="s">
        <v>19</v>
      </c>
      <c r="D1222" s="13" t="s">
        <v>27</v>
      </c>
      <c r="E1222" s="13">
        <v>2</v>
      </c>
      <c r="F1222" s="14">
        <v>18632</v>
      </c>
      <c r="G1222" s="14">
        <v>37264</v>
      </c>
      <c r="H1222" s="13" t="s">
        <v>45</v>
      </c>
      <c r="I1222" s="13" t="s">
        <v>46</v>
      </c>
    </row>
    <row r="1223" spans="1:9" x14ac:dyDescent="0.3">
      <c r="A1223" s="12">
        <v>45956</v>
      </c>
      <c r="B1223" s="13" t="s">
        <v>23</v>
      </c>
      <c r="C1223" s="13" t="s">
        <v>21</v>
      </c>
      <c r="D1223" s="13" t="s">
        <v>27</v>
      </c>
      <c r="E1223" s="13">
        <v>6</v>
      </c>
      <c r="F1223" s="14">
        <v>3401</v>
      </c>
      <c r="G1223" s="14">
        <v>20406</v>
      </c>
      <c r="H1223" s="13" t="s">
        <v>45</v>
      </c>
      <c r="I1223" s="13" t="s">
        <v>46</v>
      </c>
    </row>
    <row r="1224" spans="1:9" x14ac:dyDescent="0.3">
      <c r="A1224" s="12">
        <v>45957</v>
      </c>
      <c r="B1224" s="13" t="s">
        <v>17</v>
      </c>
      <c r="C1224" s="13" t="s">
        <v>10</v>
      </c>
      <c r="D1224" s="13" t="s">
        <v>27</v>
      </c>
      <c r="E1224" s="13">
        <v>10</v>
      </c>
      <c r="F1224" s="14">
        <v>12564</v>
      </c>
      <c r="G1224" s="14">
        <v>125640</v>
      </c>
      <c r="H1224" s="13" t="s">
        <v>45</v>
      </c>
      <c r="I1224" s="13" t="s">
        <v>46</v>
      </c>
    </row>
    <row r="1225" spans="1:9" x14ac:dyDescent="0.3">
      <c r="A1225" s="12">
        <v>45957</v>
      </c>
      <c r="B1225" s="13" t="s">
        <v>17</v>
      </c>
      <c r="C1225" s="13" t="s">
        <v>25</v>
      </c>
      <c r="D1225" s="13" t="s">
        <v>18</v>
      </c>
      <c r="E1225" s="13">
        <v>9</v>
      </c>
      <c r="F1225" s="14">
        <v>54940</v>
      </c>
      <c r="G1225" s="14">
        <v>494460</v>
      </c>
      <c r="H1225" s="13" t="s">
        <v>45</v>
      </c>
      <c r="I1225" s="13" t="s">
        <v>46</v>
      </c>
    </row>
    <row r="1226" spans="1:9" x14ac:dyDescent="0.3">
      <c r="A1226" s="12">
        <v>45957</v>
      </c>
      <c r="B1226" s="13" t="s">
        <v>17</v>
      </c>
      <c r="C1226" s="13" t="s">
        <v>22</v>
      </c>
      <c r="D1226" s="13" t="s">
        <v>24</v>
      </c>
      <c r="E1226" s="13">
        <v>8</v>
      </c>
      <c r="F1226" s="14">
        <v>7823</v>
      </c>
      <c r="G1226" s="14">
        <v>62584</v>
      </c>
      <c r="H1226" s="13" t="s">
        <v>45</v>
      </c>
      <c r="I1226" s="13" t="s">
        <v>46</v>
      </c>
    </row>
    <row r="1227" spans="1:9" x14ac:dyDescent="0.3">
      <c r="A1227" s="12">
        <v>45957</v>
      </c>
      <c r="B1227" s="13" t="s">
        <v>23</v>
      </c>
      <c r="C1227" s="13" t="s">
        <v>10</v>
      </c>
      <c r="D1227" s="13" t="s">
        <v>16</v>
      </c>
      <c r="E1227" s="13">
        <v>4</v>
      </c>
      <c r="F1227" s="14">
        <v>11792</v>
      </c>
      <c r="G1227" s="14">
        <v>47168</v>
      </c>
      <c r="H1227" s="13" t="s">
        <v>45</v>
      </c>
      <c r="I1227" s="13" t="s">
        <v>46</v>
      </c>
    </row>
    <row r="1228" spans="1:9" x14ac:dyDescent="0.3">
      <c r="A1228" s="12">
        <v>45958</v>
      </c>
      <c r="B1228" s="13" t="s">
        <v>17</v>
      </c>
      <c r="C1228" s="13" t="s">
        <v>22</v>
      </c>
      <c r="D1228" s="13" t="s">
        <v>27</v>
      </c>
      <c r="E1228" s="13">
        <v>10</v>
      </c>
      <c r="F1228" s="14">
        <v>8318</v>
      </c>
      <c r="G1228" s="14">
        <v>83180</v>
      </c>
      <c r="H1228" s="13" t="s">
        <v>45</v>
      </c>
      <c r="I1228" s="13" t="s">
        <v>46</v>
      </c>
    </row>
    <row r="1229" spans="1:9" x14ac:dyDescent="0.3">
      <c r="A1229" s="12">
        <v>45958</v>
      </c>
      <c r="B1229" s="13" t="s">
        <v>23</v>
      </c>
      <c r="C1229" s="13" t="s">
        <v>25</v>
      </c>
      <c r="D1229" s="13" t="s">
        <v>28</v>
      </c>
      <c r="E1229" s="13">
        <v>8</v>
      </c>
      <c r="F1229" s="14">
        <v>56284</v>
      </c>
      <c r="G1229" s="14">
        <v>450272</v>
      </c>
      <c r="H1229" s="13" t="s">
        <v>45</v>
      </c>
      <c r="I1229" s="13" t="s">
        <v>46</v>
      </c>
    </row>
    <row r="1230" spans="1:9" x14ac:dyDescent="0.3">
      <c r="A1230" s="12">
        <v>45958</v>
      </c>
      <c r="B1230" s="13" t="s">
        <v>9</v>
      </c>
      <c r="C1230" s="13" t="s">
        <v>21</v>
      </c>
      <c r="D1230" s="13" t="s">
        <v>18</v>
      </c>
      <c r="E1230" s="13">
        <v>8</v>
      </c>
      <c r="F1230" s="14">
        <v>3608</v>
      </c>
      <c r="G1230" s="14">
        <v>28864</v>
      </c>
      <c r="H1230" s="13" t="s">
        <v>45</v>
      </c>
      <c r="I1230" s="13" t="s">
        <v>46</v>
      </c>
    </row>
    <row r="1231" spans="1:9" x14ac:dyDescent="0.3">
      <c r="A1231" s="12">
        <v>45958</v>
      </c>
      <c r="B1231" s="13" t="s">
        <v>9</v>
      </c>
      <c r="C1231" s="13" t="s">
        <v>21</v>
      </c>
      <c r="D1231" s="13" t="s">
        <v>24</v>
      </c>
      <c r="E1231" s="13">
        <v>4</v>
      </c>
      <c r="F1231" s="14">
        <v>3354</v>
      </c>
      <c r="G1231" s="14">
        <v>13416</v>
      </c>
      <c r="H1231" s="13" t="s">
        <v>45</v>
      </c>
      <c r="I1231" s="13" t="s">
        <v>46</v>
      </c>
    </row>
    <row r="1232" spans="1:9" x14ac:dyDescent="0.3">
      <c r="A1232" s="12">
        <v>45958</v>
      </c>
      <c r="B1232" s="13" t="s">
        <v>9</v>
      </c>
      <c r="C1232" s="13" t="s">
        <v>10</v>
      </c>
      <c r="D1232" s="13" t="s">
        <v>18</v>
      </c>
      <c r="E1232" s="13">
        <v>4</v>
      </c>
      <c r="F1232" s="14">
        <v>11559</v>
      </c>
      <c r="G1232" s="14">
        <v>46236</v>
      </c>
      <c r="H1232" s="13" t="s">
        <v>45</v>
      </c>
      <c r="I1232" s="13" t="s">
        <v>46</v>
      </c>
    </row>
    <row r="1233" spans="1:9" x14ac:dyDescent="0.3">
      <c r="A1233" s="12">
        <v>45958</v>
      </c>
      <c r="B1233" s="13" t="s">
        <v>20</v>
      </c>
      <c r="C1233" s="13" t="s">
        <v>15</v>
      </c>
      <c r="D1233" s="13" t="s">
        <v>14</v>
      </c>
      <c r="E1233" s="13">
        <v>1</v>
      </c>
      <c r="F1233" s="14">
        <v>21955</v>
      </c>
      <c r="G1233" s="14">
        <v>21955</v>
      </c>
      <c r="H1233" s="13" t="s">
        <v>45</v>
      </c>
      <c r="I1233" s="13" t="s">
        <v>46</v>
      </c>
    </row>
    <row r="1234" spans="1:9" x14ac:dyDescent="0.3">
      <c r="A1234" s="12">
        <v>45959</v>
      </c>
      <c r="B1234" s="13" t="s">
        <v>17</v>
      </c>
      <c r="C1234" s="13" t="s">
        <v>10</v>
      </c>
      <c r="D1234" s="13" t="s">
        <v>24</v>
      </c>
      <c r="E1234" s="13">
        <v>10</v>
      </c>
      <c r="F1234" s="14">
        <v>12296</v>
      </c>
      <c r="G1234" s="14">
        <v>122960</v>
      </c>
      <c r="H1234" s="13" t="s">
        <v>45</v>
      </c>
      <c r="I1234" s="13" t="s">
        <v>46</v>
      </c>
    </row>
    <row r="1235" spans="1:9" x14ac:dyDescent="0.3">
      <c r="A1235" s="12">
        <v>45959</v>
      </c>
      <c r="B1235" s="13" t="s">
        <v>9</v>
      </c>
      <c r="C1235" s="13" t="s">
        <v>21</v>
      </c>
      <c r="D1235" s="13" t="s">
        <v>24</v>
      </c>
      <c r="E1235" s="13">
        <v>3</v>
      </c>
      <c r="F1235" s="14">
        <v>3630</v>
      </c>
      <c r="G1235" s="14">
        <v>10890</v>
      </c>
      <c r="H1235" s="13" t="s">
        <v>45</v>
      </c>
      <c r="I1235" s="13" t="s">
        <v>46</v>
      </c>
    </row>
    <row r="1236" spans="1:9" x14ac:dyDescent="0.3">
      <c r="A1236" s="12">
        <v>45959</v>
      </c>
      <c r="B1236" s="13" t="s">
        <v>23</v>
      </c>
      <c r="C1236" s="13" t="s">
        <v>15</v>
      </c>
      <c r="D1236" s="13" t="s">
        <v>26</v>
      </c>
      <c r="E1236" s="13">
        <v>8</v>
      </c>
      <c r="F1236" s="14">
        <v>22448</v>
      </c>
      <c r="G1236" s="14">
        <v>179584</v>
      </c>
      <c r="H1236" s="13" t="s">
        <v>45</v>
      </c>
      <c r="I1236" s="13" t="s">
        <v>46</v>
      </c>
    </row>
    <row r="1237" spans="1:9" x14ac:dyDescent="0.3">
      <c r="A1237" s="12">
        <v>45959</v>
      </c>
      <c r="B1237" s="13" t="s">
        <v>9</v>
      </c>
      <c r="C1237" s="13" t="s">
        <v>10</v>
      </c>
      <c r="D1237" s="13" t="s">
        <v>14</v>
      </c>
      <c r="E1237" s="13">
        <v>7</v>
      </c>
      <c r="F1237" s="14">
        <v>12472</v>
      </c>
      <c r="G1237" s="14">
        <v>87304</v>
      </c>
      <c r="H1237" s="13" t="s">
        <v>45</v>
      </c>
      <c r="I1237" s="13" t="s">
        <v>46</v>
      </c>
    </row>
    <row r="1238" spans="1:9" x14ac:dyDescent="0.3">
      <c r="A1238" s="12">
        <v>45960</v>
      </c>
      <c r="B1238" s="13" t="s">
        <v>9</v>
      </c>
      <c r="C1238" s="13" t="s">
        <v>19</v>
      </c>
      <c r="D1238" s="13" t="s">
        <v>18</v>
      </c>
      <c r="E1238" s="13">
        <v>5</v>
      </c>
      <c r="F1238" s="14">
        <v>18356</v>
      </c>
      <c r="G1238" s="14">
        <v>91780</v>
      </c>
      <c r="H1238" s="13" t="s">
        <v>45</v>
      </c>
      <c r="I1238" s="13" t="s">
        <v>46</v>
      </c>
    </row>
    <row r="1239" spans="1:9" x14ac:dyDescent="0.3">
      <c r="A1239" s="12">
        <v>45960</v>
      </c>
      <c r="B1239" s="13" t="s">
        <v>17</v>
      </c>
      <c r="C1239" s="13" t="s">
        <v>10</v>
      </c>
      <c r="D1239" s="13" t="s">
        <v>14</v>
      </c>
      <c r="E1239" s="13">
        <v>10</v>
      </c>
      <c r="F1239" s="14">
        <v>12457</v>
      </c>
      <c r="G1239" s="14">
        <v>124570</v>
      </c>
      <c r="H1239" s="13" t="s">
        <v>45</v>
      </c>
      <c r="I1239" s="13" t="s">
        <v>46</v>
      </c>
    </row>
    <row r="1240" spans="1:9" x14ac:dyDescent="0.3">
      <c r="A1240" s="12">
        <v>45960</v>
      </c>
      <c r="B1240" s="13" t="s">
        <v>9</v>
      </c>
      <c r="C1240" s="13" t="s">
        <v>22</v>
      </c>
      <c r="D1240" s="13" t="s">
        <v>26</v>
      </c>
      <c r="E1240" s="13">
        <v>1</v>
      </c>
      <c r="F1240" s="14">
        <v>7688</v>
      </c>
      <c r="G1240" s="14">
        <v>7688</v>
      </c>
      <c r="H1240" s="13" t="s">
        <v>45</v>
      </c>
      <c r="I1240" s="13" t="s">
        <v>46</v>
      </c>
    </row>
    <row r="1241" spans="1:9" x14ac:dyDescent="0.3">
      <c r="A1241" s="12">
        <v>45960</v>
      </c>
      <c r="B1241" s="13" t="s">
        <v>20</v>
      </c>
      <c r="C1241" s="13" t="s">
        <v>21</v>
      </c>
      <c r="D1241" s="13" t="s">
        <v>28</v>
      </c>
      <c r="E1241" s="13">
        <v>6</v>
      </c>
      <c r="F1241" s="14">
        <v>3453</v>
      </c>
      <c r="G1241" s="14">
        <v>20718</v>
      </c>
      <c r="H1241" s="13" t="s">
        <v>45</v>
      </c>
      <c r="I1241" s="13" t="s">
        <v>46</v>
      </c>
    </row>
    <row r="1242" spans="1:9" x14ac:dyDescent="0.3">
      <c r="A1242" s="12">
        <v>45961</v>
      </c>
      <c r="B1242" s="13" t="s">
        <v>9</v>
      </c>
      <c r="C1242" s="13" t="s">
        <v>22</v>
      </c>
      <c r="D1242" s="13" t="s">
        <v>16</v>
      </c>
      <c r="E1242" s="13">
        <v>3</v>
      </c>
      <c r="F1242" s="14">
        <v>8385</v>
      </c>
      <c r="G1242" s="14">
        <v>25155</v>
      </c>
      <c r="H1242" s="13" t="s">
        <v>45</v>
      </c>
      <c r="I1242" s="13" t="s">
        <v>46</v>
      </c>
    </row>
    <row r="1243" spans="1:9" x14ac:dyDescent="0.3">
      <c r="A1243" s="12">
        <v>45961</v>
      </c>
      <c r="B1243" s="13" t="s">
        <v>17</v>
      </c>
      <c r="C1243" s="13" t="s">
        <v>22</v>
      </c>
      <c r="D1243" s="13" t="s">
        <v>14</v>
      </c>
      <c r="E1243" s="13">
        <v>8</v>
      </c>
      <c r="F1243" s="14">
        <v>8189</v>
      </c>
      <c r="G1243" s="14">
        <v>65512</v>
      </c>
      <c r="H1243" s="13" t="s">
        <v>45</v>
      </c>
      <c r="I1243" s="13" t="s">
        <v>46</v>
      </c>
    </row>
    <row r="1244" spans="1:9" x14ac:dyDescent="0.3">
      <c r="A1244" s="12">
        <v>45961</v>
      </c>
      <c r="B1244" s="13" t="s">
        <v>17</v>
      </c>
      <c r="C1244" s="13" t="s">
        <v>10</v>
      </c>
      <c r="D1244" s="13" t="s">
        <v>16</v>
      </c>
      <c r="E1244" s="13">
        <v>6</v>
      </c>
      <c r="F1244" s="14">
        <v>11823</v>
      </c>
      <c r="G1244" s="14">
        <v>70938</v>
      </c>
      <c r="H1244" s="13" t="s">
        <v>45</v>
      </c>
      <c r="I1244" s="13" t="s">
        <v>46</v>
      </c>
    </row>
    <row r="1245" spans="1:9" x14ac:dyDescent="0.3">
      <c r="A1245" s="12">
        <v>45961</v>
      </c>
      <c r="B1245" s="13" t="s">
        <v>20</v>
      </c>
      <c r="C1245" s="13" t="s">
        <v>22</v>
      </c>
      <c r="D1245" s="13" t="s">
        <v>18</v>
      </c>
      <c r="E1245" s="13">
        <v>5</v>
      </c>
      <c r="F1245" s="14">
        <v>7643</v>
      </c>
      <c r="G1245" s="14">
        <v>38215</v>
      </c>
      <c r="H1245" s="13" t="s">
        <v>45</v>
      </c>
      <c r="I1245" s="13" t="s">
        <v>46</v>
      </c>
    </row>
    <row r="1246" spans="1:9" x14ac:dyDescent="0.3">
      <c r="A1246" s="12">
        <v>45961</v>
      </c>
      <c r="B1246" s="13" t="s">
        <v>20</v>
      </c>
      <c r="C1246" s="13" t="s">
        <v>19</v>
      </c>
      <c r="D1246" s="13" t="s">
        <v>24</v>
      </c>
      <c r="E1246" s="13">
        <v>8</v>
      </c>
      <c r="F1246" s="14">
        <v>18002</v>
      </c>
      <c r="G1246" s="14">
        <v>144016</v>
      </c>
      <c r="H1246" s="13" t="s">
        <v>45</v>
      </c>
      <c r="I1246" s="13" t="s">
        <v>46</v>
      </c>
    </row>
    <row r="1247" spans="1:9" x14ac:dyDescent="0.3">
      <c r="A1247" s="12">
        <v>45961</v>
      </c>
      <c r="B1247" s="13" t="s">
        <v>9</v>
      </c>
      <c r="C1247" s="13" t="s">
        <v>21</v>
      </c>
      <c r="D1247" s="13" t="s">
        <v>11</v>
      </c>
      <c r="E1247" s="13">
        <v>8</v>
      </c>
      <c r="F1247" s="14">
        <v>3542</v>
      </c>
      <c r="G1247" s="14">
        <v>28336</v>
      </c>
      <c r="H1247" s="13" t="s">
        <v>45</v>
      </c>
      <c r="I1247" s="13" t="s">
        <v>46</v>
      </c>
    </row>
    <row r="1248" spans="1:9" x14ac:dyDescent="0.3">
      <c r="A1248" s="12">
        <v>45962</v>
      </c>
      <c r="B1248" s="13" t="s">
        <v>17</v>
      </c>
      <c r="C1248" s="13" t="s">
        <v>21</v>
      </c>
      <c r="D1248" s="13" t="s">
        <v>14</v>
      </c>
      <c r="E1248" s="13">
        <v>2</v>
      </c>
      <c r="F1248" s="14">
        <v>3461</v>
      </c>
      <c r="G1248" s="14">
        <v>6922</v>
      </c>
      <c r="H1248" s="13" t="s">
        <v>47</v>
      </c>
      <c r="I1248" s="13" t="s">
        <v>48</v>
      </c>
    </row>
    <row r="1249" spans="1:9" x14ac:dyDescent="0.3">
      <c r="A1249" s="12">
        <v>45962</v>
      </c>
      <c r="B1249" s="13" t="s">
        <v>17</v>
      </c>
      <c r="C1249" s="13" t="s">
        <v>19</v>
      </c>
      <c r="D1249" s="13" t="s">
        <v>14</v>
      </c>
      <c r="E1249" s="13">
        <v>2</v>
      </c>
      <c r="F1249" s="14">
        <v>17396</v>
      </c>
      <c r="G1249" s="14">
        <v>34792</v>
      </c>
      <c r="H1249" s="13" t="s">
        <v>47</v>
      </c>
      <c r="I1249" s="13" t="s">
        <v>48</v>
      </c>
    </row>
    <row r="1250" spans="1:9" x14ac:dyDescent="0.3">
      <c r="A1250" s="12">
        <v>45963</v>
      </c>
      <c r="B1250" s="13" t="s">
        <v>17</v>
      </c>
      <c r="C1250" s="13" t="s">
        <v>21</v>
      </c>
      <c r="D1250" s="13" t="s">
        <v>27</v>
      </c>
      <c r="E1250" s="13">
        <v>4</v>
      </c>
      <c r="F1250" s="14">
        <v>3507</v>
      </c>
      <c r="G1250" s="14">
        <v>14028</v>
      </c>
      <c r="H1250" s="13" t="s">
        <v>47</v>
      </c>
      <c r="I1250" s="13" t="s">
        <v>48</v>
      </c>
    </row>
    <row r="1251" spans="1:9" x14ac:dyDescent="0.3">
      <c r="A1251" s="12">
        <v>45963</v>
      </c>
      <c r="B1251" s="13" t="s">
        <v>9</v>
      </c>
      <c r="C1251" s="13" t="s">
        <v>19</v>
      </c>
      <c r="D1251" s="13" t="s">
        <v>18</v>
      </c>
      <c r="E1251" s="13">
        <v>9</v>
      </c>
      <c r="F1251" s="14">
        <v>18777</v>
      </c>
      <c r="G1251" s="14">
        <v>168993</v>
      </c>
      <c r="H1251" s="13" t="s">
        <v>47</v>
      </c>
      <c r="I1251" s="13" t="s">
        <v>48</v>
      </c>
    </row>
    <row r="1252" spans="1:9" x14ac:dyDescent="0.3">
      <c r="A1252" s="12">
        <v>45964</v>
      </c>
      <c r="B1252" s="13" t="s">
        <v>20</v>
      </c>
      <c r="C1252" s="13" t="s">
        <v>21</v>
      </c>
      <c r="D1252" s="13" t="s">
        <v>24</v>
      </c>
      <c r="E1252" s="13">
        <v>1</v>
      </c>
      <c r="F1252" s="14">
        <v>3427</v>
      </c>
      <c r="G1252" s="14">
        <v>3427</v>
      </c>
      <c r="H1252" s="13" t="s">
        <v>47</v>
      </c>
      <c r="I1252" s="13" t="s">
        <v>48</v>
      </c>
    </row>
    <row r="1253" spans="1:9" x14ac:dyDescent="0.3">
      <c r="A1253" s="12">
        <v>45964</v>
      </c>
      <c r="B1253" s="13" t="s">
        <v>9</v>
      </c>
      <c r="C1253" s="13" t="s">
        <v>25</v>
      </c>
      <c r="D1253" s="13" t="s">
        <v>16</v>
      </c>
      <c r="E1253" s="13">
        <v>9</v>
      </c>
      <c r="F1253" s="14">
        <v>55795</v>
      </c>
      <c r="G1253" s="14">
        <v>502155</v>
      </c>
      <c r="H1253" s="13" t="s">
        <v>47</v>
      </c>
      <c r="I1253" s="13" t="s">
        <v>48</v>
      </c>
    </row>
    <row r="1254" spans="1:9" x14ac:dyDescent="0.3">
      <c r="A1254" s="12">
        <v>45964</v>
      </c>
      <c r="B1254" s="13" t="s">
        <v>23</v>
      </c>
      <c r="C1254" s="13" t="s">
        <v>22</v>
      </c>
      <c r="D1254" s="13" t="s">
        <v>26</v>
      </c>
      <c r="E1254" s="13">
        <v>6</v>
      </c>
      <c r="F1254" s="14">
        <v>7988</v>
      </c>
      <c r="G1254" s="14">
        <v>47928</v>
      </c>
      <c r="H1254" s="13" t="s">
        <v>47</v>
      </c>
      <c r="I1254" s="13" t="s">
        <v>48</v>
      </c>
    </row>
    <row r="1255" spans="1:9" x14ac:dyDescent="0.3">
      <c r="A1255" s="12">
        <v>45964</v>
      </c>
      <c r="B1255" s="13" t="s">
        <v>23</v>
      </c>
      <c r="C1255" s="13" t="s">
        <v>21</v>
      </c>
      <c r="D1255" s="13" t="s">
        <v>11</v>
      </c>
      <c r="E1255" s="13">
        <v>10</v>
      </c>
      <c r="F1255" s="14">
        <v>3371</v>
      </c>
      <c r="G1255" s="14">
        <v>33710</v>
      </c>
      <c r="H1255" s="13" t="s">
        <v>47</v>
      </c>
      <c r="I1255" s="13" t="s">
        <v>48</v>
      </c>
    </row>
    <row r="1256" spans="1:9" x14ac:dyDescent="0.3">
      <c r="A1256" s="12">
        <v>45964</v>
      </c>
      <c r="B1256" s="13" t="s">
        <v>20</v>
      </c>
      <c r="C1256" s="13" t="s">
        <v>15</v>
      </c>
      <c r="D1256" s="13" t="s">
        <v>11</v>
      </c>
      <c r="E1256" s="13">
        <v>4</v>
      </c>
      <c r="F1256" s="14">
        <v>21965</v>
      </c>
      <c r="G1256" s="14">
        <v>87860</v>
      </c>
      <c r="H1256" s="13" t="s">
        <v>47</v>
      </c>
      <c r="I1256" s="13" t="s">
        <v>48</v>
      </c>
    </row>
    <row r="1257" spans="1:9" x14ac:dyDescent="0.3">
      <c r="A1257" s="12">
        <v>45965</v>
      </c>
      <c r="B1257" s="13" t="s">
        <v>9</v>
      </c>
      <c r="C1257" s="13" t="s">
        <v>15</v>
      </c>
      <c r="D1257" s="13" t="s">
        <v>26</v>
      </c>
      <c r="E1257" s="13">
        <v>5</v>
      </c>
      <c r="F1257" s="14">
        <v>21903</v>
      </c>
      <c r="G1257" s="14">
        <v>109515</v>
      </c>
      <c r="H1257" s="13" t="s">
        <v>47</v>
      </c>
      <c r="I1257" s="13" t="s">
        <v>48</v>
      </c>
    </row>
    <row r="1258" spans="1:9" x14ac:dyDescent="0.3">
      <c r="A1258" s="12">
        <v>45965</v>
      </c>
      <c r="B1258" s="13" t="s">
        <v>17</v>
      </c>
      <c r="C1258" s="13" t="s">
        <v>22</v>
      </c>
      <c r="D1258" s="13" t="s">
        <v>27</v>
      </c>
      <c r="E1258" s="13">
        <v>9</v>
      </c>
      <c r="F1258" s="14">
        <v>7828</v>
      </c>
      <c r="G1258" s="14">
        <v>70452</v>
      </c>
      <c r="H1258" s="13" t="s">
        <v>47</v>
      </c>
      <c r="I1258" s="13" t="s">
        <v>48</v>
      </c>
    </row>
    <row r="1259" spans="1:9" x14ac:dyDescent="0.3">
      <c r="A1259" s="12">
        <v>45965</v>
      </c>
      <c r="B1259" s="13" t="s">
        <v>17</v>
      </c>
      <c r="C1259" s="13" t="s">
        <v>10</v>
      </c>
      <c r="D1259" s="13" t="s">
        <v>27</v>
      </c>
      <c r="E1259" s="13">
        <v>3</v>
      </c>
      <c r="F1259" s="14">
        <v>11685</v>
      </c>
      <c r="G1259" s="14">
        <v>35055</v>
      </c>
      <c r="H1259" s="13" t="s">
        <v>47</v>
      </c>
      <c r="I1259" s="13" t="s">
        <v>48</v>
      </c>
    </row>
    <row r="1260" spans="1:9" x14ac:dyDescent="0.3">
      <c r="A1260" s="12">
        <v>45965</v>
      </c>
      <c r="B1260" s="13" t="s">
        <v>9</v>
      </c>
      <c r="C1260" s="13" t="s">
        <v>19</v>
      </c>
      <c r="D1260" s="13" t="s">
        <v>27</v>
      </c>
      <c r="E1260" s="13">
        <v>8</v>
      </c>
      <c r="F1260" s="14">
        <v>17568</v>
      </c>
      <c r="G1260" s="14">
        <v>140544</v>
      </c>
      <c r="H1260" s="13" t="s">
        <v>47</v>
      </c>
      <c r="I1260" s="13" t="s">
        <v>48</v>
      </c>
    </row>
    <row r="1261" spans="1:9" x14ac:dyDescent="0.3">
      <c r="A1261" s="12">
        <v>45966</v>
      </c>
      <c r="B1261" s="13" t="s">
        <v>17</v>
      </c>
      <c r="C1261" s="13" t="s">
        <v>22</v>
      </c>
      <c r="D1261" s="13" t="s">
        <v>28</v>
      </c>
      <c r="E1261" s="13">
        <v>6</v>
      </c>
      <c r="F1261" s="14">
        <v>8382</v>
      </c>
      <c r="G1261" s="14">
        <v>50292</v>
      </c>
      <c r="H1261" s="13" t="s">
        <v>47</v>
      </c>
      <c r="I1261" s="13" t="s">
        <v>48</v>
      </c>
    </row>
    <row r="1262" spans="1:9" x14ac:dyDescent="0.3">
      <c r="A1262" s="12">
        <v>45966</v>
      </c>
      <c r="B1262" s="13" t="s">
        <v>17</v>
      </c>
      <c r="C1262" s="13" t="s">
        <v>19</v>
      </c>
      <c r="D1262" s="13" t="s">
        <v>24</v>
      </c>
      <c r="E1262" s="13">
        <v>9</v>
      </c>
      <c r="F1262" s="14">
        <v>18855</v>
      </c>
      <c r="G1262" s="14">
        <v>169695</v>
      </c>
      <c r="H1262" s="13" t="s">
        <v>47</v>
      </c>
      <c r="I1262" s="13" t="s">
        <v>48</v>
      </c>
    </row>
    <row r="1263" spans="1:9" x14ac:dyDescent="0.3">
      <c r="A1263" s="12">
        <v>45966</v>
      </c>
      <c r="B1263" s="13" t="s">
        <v>20</v>
      </c>
      <c r="C1263" s="13" t="s">
        <v>25</v>
      </c>
      <c r="D1263" s="13" t="s">
        <v>28</v>
      </c>
      <c r="E1263" s="13">
        <v>7</v>
      </c>
      <c r="F1263" s="14">
        <v>57370</v>
      </c>
      <c r="G1263" s="14">
        <v>401590</v>
      </c>
      <c r="H1263" s="13" t="s">
        <v>47</v>
      </c>
      <c r="I1263" s="13" t="s">
        <v>48</v>
      </c>
    </row>
    <row r="1264" spans="1:9" x14ac:dyDescent="0.3">
      <c r="A1264" s="12">
        <v>45967</v>
      </c>
      <c r="B1264" s="13" t="s">
        <v>23</v>
      </c>
      <c r="C1264" s="13" t="s">
        <v>19</v>
      </c>
      <c r="D1264" s="13" t="s">
        <v>27</v>
      </c>
      <c r="E1264" s="13">
        <v>1</v>
      </c>
      <c r="F1264" s="14">
        <v>18846</v>
      </c>
      <c r="G1264" s="14">
        <v>18846</v>
      </c>
      <c r="H1264" s="13" t="s">
        <v>47</v>
      </c>
      <c r="I1264" s="13" t="s">
        <v>48</v>
      </c>
    </row>
    <row r="1265" spans="1:9" x14ac:dyDescent="0.3">
      <c r="A1265" s="12">
        <v>45967</v>
      </c>
      <c r="B1265" s="13" t="s">
        <v>20</v>
      </c>
      <c r="C1265" s="13" t="s">
        <v>10</v>
      </c>
      <c r="D1265" s="13" t="s">
        <v>11</v>
      </c>
      <c r="E1265" s="13">
        <v>8</v>
      </c>
      <c r="F1265" s="14">
        <v>12475</v>
      </c>
      <c r="G1265" s="14">
        <v>99800</v>
      </c>
      <c r="H1265" s="13" t="s">
        <v>47</v>
      </c>
      <c r="I1265" s="13" t="s">
        <v>48</v>
      </c>
    </row>
    <row r="1266" spans="1:9" x14ac:dyDescent="0.3">
      <c r="A1266" s="12">
        <v>45967</v>
      </c>
      <c r="B1266" s="13" t="s">
        <v>17</v>
      </c>
      <c r="C1266" s="13" t="s">
        <v>22</v>
      </c>
      <c r="D1266" s="13" t="s">
        <v>24</v>
      </c>
      <c r="E1266" s="13">
        <v>6</v>
      </c>
      <c r="F1266" s="14">
        <v>8151</v>
      </c>
      <c r="G1266" s="14">
        <v>48906</v>
      </c>
      <c r="H1266" s="13" t="s">
        <v>47</v>
      </c>
      <c r="I1266" s="13" t="s">
        <v>48</v>
      </c>
    </row>
    <row r="1267" spans="1:9" x14ac:dyDescent="0.3">
      <c r="A1267" s="12">
        <v>45968</v>
      </c>
      <c r="B1267" s="13" t="s">
        <v>9</v>
      </c>
      <c r="C1267" s="13" t="s">
        <v>15</v>
      </c>
      <c r="D1267" s="13" t="s">
        <v>14</v>
      </c>
      <c r="E1267" s="13">
        <v>5</v>
      </c>
      <c r="F1267" s="14">
        <v>20954</v>
      </c>
      <c r="G1267" s="14">
        <v>104770</v>
      </c>
      <c r="H1267" s="13" t="s">
        <v>47</v>
      </c>
      <c r="I1267" s="13" t="s">
        <v>48</v>
      </c>
    </row>
    <row r="1268" spans="1:9" x14ac:dyDescent="0.3">
      <c r="A1268" s="12">
        <v>45968</v>
      </c>
      <c r="B1268" s="13" t="s">
        <v>17</v>
      </c>
      <c r="C1268" s="13" t="s">
        <v>21</v>
      </c>
      <c r="D1268" s="13" t="s">
        <v>26</v>
      </c>
      <c r="E1268" s="13">
        <v>2</v>
      </c>
      <c r="F1268" s="14">
        <v>3439</v>
      </c>
      <c r="G1268" s="14">
        <v>6878</v>
      </c>
      <c r="H1268" s="13" t="s">
        <v>47</v>
      </c>
      <c r="I1268" s="13" t="s">
        <v>48</v>
      </c>
    </row>
    <row r="1269" spans="1:9" x14ac:dyDescent="0.3">
      <c r="A1269" s="12">
        <v>45968</v>
      </c>
      <c r="B1269" s="13" t="s">
        <v>17</v>
      </c>
      <c r="C1269" s="13" t="s">
        <v>22</v>
      </c>
      <c r="D1269" s="13" t="s">
        <v>16</v>
      </c>
      <c r="E1269" s="13">
        <v>5</v>
      </c>
      <c r="F1269" s="14">
        <v>7756</v>
      </c>
      <c r="G1269" s="14">
        <v>38780</v>
      </c>
      <c r="H1269" s="13" t="s">
        <v>47</v>
      </c>
      <c r="I1269" s="13" t="s">
        <v>48</v>
      </c>
    </row>
    <row r="1270" spans="1:9" x14ac:dyDescent="0.3">
      <c r="A1270" s="12">
        <v>45968</v>
      </c>
      <c r="B1270" s="13" t="s">
        <v>9</v>
      </c>
      <c r="C1270" s="13" t="s">
        <v>22</v>
      </c>
      <c r="D1270" s="13" t="s">
        <v>24</v>
      </c>
      <c r="E1270" s="13">
        <v>2</v>
      </c>
      <c r="F1270" s="14">
        <v>8380</v>
      </c>
      <c r="G1270" s="14">
        <v>16760</v>
      </c>
      <c r="H1270" s="13" t="s">
        <v>47</v>
      </c>
      <c r="I1270" s="13" t="s">
        <v>48</v>
      </c>
    </row>
    <row r="1271" spans="1:9" x14ac:dyDescent="0.3">
      <c r="A1271" s="12">
        <v>45968</v>
      </c>
      <c r="B1271" s="13" t="s">
        <v>23</v>
      </c>
      <c r="C1271" s="13" t="s">
        <v>15</v>
      </c>
      <c r="D1271" s="13" t="s">
        <v>24</v>
      </c>
      <c r="E1271" s="13">
        <v>6</v>
      </c>
      <c r="F1271" s="14">
        <v>22226</v>
      </c>
      <c r="G1271" s="14">
        <v>133356</v>
      </c>
      <c r="H1271" s="13" t="s">
        <v>47</v>
      </c>
      <c r="I1271" s="13" t="s">
        <v>48</v>
      </c>
    </row>
    <row r="1272" spans="1:9" x14ac:dyDescent="0.3">
      <c r="A1272" s="12">
        <v>45969</v>
      </c>
      <c r="B1272" s="13" t="s">
        <v>9</v>
      </c>
      <c r="C1272" s="13" t="s">
        <v>10</v>
      </c>
      <c r="D1272" s="13" t="s">
        <v>26</v>
      </c>
      <c r="E1272" s="13">
        <v>7</v>
      </c>
      <c r="F1272" s="14">
        <v>11577</v>
      </c>
      <c r="G1272" s="14">
        <v>81039</v>
      </c>
      <c r="H1272" s="13" t="s">
        <v>47</v>
      </c>
      <c r="I1272" s="13" t="s">
        <v>48</v>
      </c>
    </row>
    <row r="1273" spans="1:9" x14ac:dyDescent="0.3">
      <c r="A1273" s="12">
        <v>45969</v>
      </c>
      <c r="B1273" s="13" t="s">
        <v>23</v>
      </c>
      <c r="C1273" s="13" t="s">
        <v>19</v>
      </c>
      <c r="D1273" s="13" t="s">
        <v>18</v>
      </c>
      <c r="E1273" s="13">
        <v>6</v>
      </c>
      <c r="F1273" s="14">
        <v>17121</v>
      </c>
      <c r="G1273" s="14">
        <v>102726</v>
      </c>
      <c r="H1273" s="13" t="s">
        <v>47</v>
      </c>
      <c r="I1273" s="13" t="s">
        <v>48</v>
      </c>
    </row>
    <row r="1274" spans="1:9" x14ac:dyDescent="0.3">
      <c r="A1274" s="12">
        <v>45969</v>
      </c>
      <c r="B1274" s="13" t="s">
        <v>20</v>
      </c>
      <c r="C1274" s="13" t="s">
        <v>19</v>
      </c>
      <c r="D1274" s="13" t="s">
        <v>11</v>
      </c>
      <c r="E1274" s="13">
        <v>8</v>
      </c>
      <c r="F1274" s="14">
        <v>18673</v>
      </c>
      <c r="G1274" s="14">
        <v>149384</v>
      </c>
      <c r="H1274" s="13" t="s">
        <v>47</v>
      </c>
      <c r="I1274" s="13" t="s">
        <v>48</v>
      </c>
    </row>
    <row r="1275" spans="1:9" x14ac:dyDescent="0.3">
      <c r="A1275" s="12">
        <v>45969</v>
      </c>
      <c r="B1275" s="13" t="s">
        <v>9</v>
      </c>
      <c r="C1275" s="13" t="s">
        <v>15</v>
      </c>
      <c r="D1275" s="13" t="s">
        <v>24</v>
      </c>
      <c r="E1275" s="13">
        <v>7</v>
      </c>
      <c r="F1275" s="14">
        <v>22668</v>
      </c>
      <c r="G1275" s="14">
        <v>158676</v>
      </c>
      <c r="H1275" s="13" t="s">
        <v>47</v>
      </c>
      <c r="I1275" s="13" t="s">
        <v>48</v>
      </c>
    </row>
    <row r="1276" spans="1:9" x14ac:dyDescent="0.3">
      <c r="A1276" s="12">
        <v>45969</v>
      </c>
      <c r="B1276" s="13" t="s">
        <v>20</v>
      </c>
      <c r="C1276" s="13" t="s">
        <v>15</v>
      </c>
      <c r="D1276" s="13" t="s">
        <v>18</v>
      </c>
      <c r="E1276" s="13">
        <v>7</v>
      </c>
      <c r="F1276" s="14">
        <v>21207</v>
      </c>
      <c r="G1276" s="14">
        <v>148449</v>
      </c>
      <c r="H1276" s="13" t="s">
        <v>47</v>
      </c>
      <c r="I1276" s="13" t="s">
        <v>48</v>
      </c>
    </row>
    <row r="1277" spans="1:9" x14ac:dyDescent="0.3">
      <c r="A1277" s="12">
        <v>45969</v>
      </c>
      <c r="B1277" s="13" t="s">
        <v>9</v>
      </c>
      <c r="C1277" s="13" t="s">
        <v>15</v>
      </c>
      <c r="D1277" s="13" t="s">
        <v>16</v>
      </c>
      <c r="E1277" s="13">
        <v>5</v>
      </c>
      <c r="F1277" s="14">
        <v>21944</v>
      </c>
      <c r="G1277" s="14">
        <v>109720</v>
      </c>
      <c r="H1277" s="13" t="s">
        <v>47</v>
      </c>
      <c r="I1277" s="13" t="s">
        <v>48</v>
      </c>
    </row>
    <row r="1278" spans="1:9" x14ac:dyDescent="0.3">
      <c r="A1278" s="12">
        <v>45970</v>
      </c>
      <c r="B1278" s="13" t="s">
        <v>20</v>
      </c>
      <c r="C1278" s="13" t="s">
        <v>25</v>
      </c>
      <c r="D1278" s="13" t="s">
        <v>18</v>
      </c>
      <c r="E1278" s="13">
        <v>2</v>
      </c>
      <c r="F1278" s="14">
        <v>52286</v>
      </c>
      <c r="G1278" s="14">
        <v>104572</v>
      </c>
      <c r="H1278" s="13" t="s">
        <v>47</v>
      </c>
      <c r="I1278" s="13" t="s">
        <v>48</v>
      </c>
    </row>
    <row r="1279" spans="1:9" x14ac:dyDescent="0.3">
      <c r="A1279" s="12">
        <v>45970</v>
      </c>
      <c r="B1279" s="13" t="s">
        <v>20</v>
      </c>
      <c r="C1279" s="13" t="s">
        <v>21</v>
      </c>
      <c r="D1279" s="13" t="s">
        <v>27</v>
      </c>
      <c r="E1279" s="13">
        <v>9</v>
      </c>
      <c r="F1279" s="14">
        <v>3486</v>
      </c>
      <c r="G1279" s="14">
        <v>31374</v>
      </c>
      <c r="H1279" s="13" t="s">
        <v>47</v>
      </c>
      <c r="I1279" s="13" t="s">
        <v>48</v>
      </c>
    </row>
    <row r="1280" spans="1:9" x14ac:dyDescent="0.3">
      <c r="A1280" s="12">
        <v>45970</v>
      </c>
      <c r="B1280" s="13" t="s">
        <v>17</v>
      </c>
      <c r="C1280" s="13" t="s">
        <v>15</v>
      </c>
      <c r="D1280" s="13" t="s">
        <v>27</v>
      </c>
      <c r="E1280" s="13">
        <v>7</v>
      </c>
      <c r="F1280" s="14">
        <v>21536</v>
      </c>
      <c r="G1280" s="14">
        <v>150752</v>
      </c>
      <c r="H1280" s="13" t="s">
        <v>47</v>
      </c>
      <c r="I1280" s="13" t="s">
        <v>48</v>
      </c>
    </row>
    <row r="1281" spans="1:9" x14ac:dyDescent="0.3">
      <c r="A1281" s="12">
        <v>45970</v>
      </c>
      <c r="B1281" s="13" t="s">
        <v>23</v>
      </c>
      <c r="C1281" s="13" t="s">
        <v>25</v>
      </c>
      <c r="D1281" s="13" t="s">
        <v>11</v>
      </c>
      <c r="E1281" s="13">
        <v>10</v>
      </c>
      <c r="F1281" s="14">
        <v>53921</v>
      </c>
      <c r="G1281" s="14">
        <v>539210</v>
      </c>
      <c r="H1281" s="13" t="s">
        <v>47</v>
      </c>
      <c r="I1281" s="13" t="s">
        <v>48</v>
      </c>
    </row>
    <row r="1282" spans="1:9" x14ac:dyDescent="0.3">
      <c r="A1282" s="12">
        <v>45970</v>
      </c>
      <c r="B1282" s="13" t="s">
        <v>23</v>
      </c>
      <c r="C1282" s="13" t="s">
        <v>15</v>
      </c>
      <c r="D1282" s="13" t="s">
        <v>28</v>
      </c>
      <c r="E1282" s="13">
        <v>1</v>
      </c>
      <c r="F1282" s="14">
        <v>21238</v>
      </c>
      <c r="G1282" s="14">
        <v>21238</v>
      </c>
      <c r="H1282" s="13" t="s">
        <v>47</v>
      </c>
      <c r="I1282" s="13" t="s">
        <v>48</v>
      </c>
    </row>
    <row r="1283" spans="1:9" x14ac:dyDescent="0.3">
      <c r="A1283" s="12">
        <v>45970</v>
      </c>
      <c r="B1283" s="13" t="s">
        <v>20</v>
      </c>
      <c r="C1283" s="13" t="s">
        <v>10</v>
      </c>
      <c r="D1283" s="13" t="s">
        <v>24</v>
      </c>
      <c r="E1283" s="13">
        <v>2</v>
      </c>
      <c r="F1283" s="14">
        <v>12184</v>
      </c>
      <c r="G1283" s="14">
        <v>24368</v>
      </c>
      <c r="H1283" s="13" t="s">
        <v>47</v>
      </c>
      <c r="I1283" s="13" t="s">
        <v>48</v>
      </c>
    </row>
    <row r="1284" spans="1:9" x14ac:dyDescent="0.3">
      <c r="A1284" s="12">
        <v>45971</v>
      </c>
      <c r="B1284" s="13" t="s">
        <v>23</v>
      </c>
      <c r="C1284" s="13" t="s">
        <v>15</v>
      </c>
      <c r="D1284" s="13" t="s">
        <v>24</v>
      </c>
      <c r="E1284" s="13">
        <v>4</v>
      </c>
      <c r="F1284" s="14">
        <v>20962</v>
      </c>
      <c r="G1284" s="14">
        <v>83848</v>
      </c>
      <c r="H1284" s="13" t="s">
        <v>47</v>
      </c>
      <c r="I1284" s="13" t="s">
        <v>48</v>
      </c>
    </row>
    <row r="1285" spans="1:9" x14ac:dyDescent="0.3">
      <c r="A1285" s="12">
        <v>45971</v>
      </c>
      <c r="B1285" s="13" t="s">
        <v>20</v>
      </c>
      <c r="C1285" s="13" t="s">
        <v>21</v>
      </c>
      <c r="D1285" s="13" t="s">
        <v>14</v>
      </c>
      <c r="E1285" s="13">
        <v>10</v>
      </c>
      <c r="F1285" s="14">
        <v>3585</v>
      </c>
      <c r="G1285" s="14">
        <v>35850</v>
      </c>
      <c r="H1285" s="13" t="s">
        <v>47</v>
      </c>
      <c r="I1285" s="13" t="s">
        <v>48</v>
      </c>
    </row>
    <row r="1286" spans="1:9" x14ac:dyDescent="0.3">
      <c r="A1286" s="12">
        <v>45971</v>
      </c>
      <c r="B1286" s="13" t="s">
        <v>23</v>
      </c>
      <c r="C1286" s="13" t="s">
        <v>22</v>
      </c>
      <c r="D1286" s="13" t="s">
        <v>18</v>
      </c>
      <c r="E1286" s="13">
        <v>5</v>
      </c>
      <c r="F1286" s="14">
        <v>8102</v>
      </c>
      <c r="G1286" s="14">
        <v>40510</v>
      </c>
      <c r="H1286" s="13" t="s">
        <v>47</v>
      </c>
      <c r="I1286" s="13" t="s">
        <v>48</v>
      </c>
    </row>
    <row r="1287" spans="1:9" x14ac:dyDescent="0.3">
      <c r="A1287" s="12">
        <v>45971</v>
      </c>
      <c r="B1287" s="13" t="s">
        <v>23</v>
      </c>
      <c r="C1287" s="13" t="s">
        <v>10</v>
      </c>
      <c r="D1287" s="13" t="s">
        <v>14</v>
      </c>
      <c r="E1287" s="13">
        <v>6</v>
      </c>
      <c r="F1287" s="14">
        <v>12015</v>
      </c>
      <c r="G1287" s="14">
        <v>72090</v>
      </c>
      <c r="H1287" s="13" t="s">
        <v>47</v>
      </c>
      <c r="I1287" s="13" t="s">
        <v>48</v>
      </c>
    </row>
    <row r="1288" spans="1:9" x14ac:dyDescent="0.3">
      <c r="A1288" s="12">
        <v>45972</v>
      </c>
      <c r="B1288" s="13" t="s">
        <v>9</v>
      </c>
      <c r="C1288" s="13" t="s">
        <v>19</v>
      </c>
      <c r="D1288" s="13" t="s">
        <v>27</v>
      </c>
      <c r="E1288" s="13">
        <v>10</v>
      </c>
      <c r="F1288" s="14">
        <v>17205</v>
      </c>
      <c r="G1288" s="14">
        <v>172050</v>
      </c>
      <c r="H1288" s="13" t="s">
        <v>47</v>
      </c>
      <c r="I1288" s="13" t="s">
        <v>48</v>
      </c>
    </row>
    <row r="1289" spans="1:9" x14ac:dyDescent="0.3">
      <c r="A1289" s="12">
        <v>45972</v>
      </c>
      <c r="B1289" s="13" t="s">
        <v>20</v>
      </c>
      <c r="C1289" s="13" t="s">
        <v>21</v>
      </c>
      <c r="D1289" s="13" t="s">
        <v>27</v>
      </c>
      <c r="E1289" s="13">
        <v>6</v>
      </c>
      <c r="F1289" s="14">
        <v>3382</v>
      </c>
      <c r="G1289" s="14">
        <v>20292</v>
      </c>
      <c r="H1289" s="13" t="s">
        <v>47</v>
      </c>
      <c r="I1289" s="13" t="s">
        <v>48</v>
      </c>
    </row>
    <row r="1290" spans="1:9" x14ac:dyDescent="0.3">
      <c r="A1290" s="12">
        <v>45972</v>
      </c>
      <c r="B1290" s="13" t="s">
        <v>20</v>
      </c>
      <c r="C1290" s="13" t="s">
        <v>19</v>
      </c>
      <c r="D1290" s="13" t="s">
        <v>18</v>
      </c>
      <c r="E1290" s="13">
        <v>6</v>
      </c>
      <c r="F1290" s="14">
        <v>17187</v>
      </c>
      <c r="G1290" s="14">
        <v>103122</v>
      </c>
      <c r="H1290" s="13" t="s">
        <v>47</v>
      </c>
      <c r="I1290" s="13" t="s">
        <v>48</v>
      </c>
    </row>
    <row r="1291" spans="1:9" x14ac:dyDescent="0.3">
      <c r="A1291" s="12">
        <v>45972</v>
      </c>
      <c r="B1291" s="13" t="s">
        <v>20</v>
      </c>
      <c r="C1291" s="13" t="s">
        <v>22</v>
      </c>
      <c r="D1291" s="13" t="s">
        <v>14</v>
      </c>
      <c r="E1291" s="13">
        <v>9</v>
      </c>
      <c r="F1291" s="14">
        <v>7755</v>
      </c>
      <c r="G1291" s="14">
        <v>69795</v>
      </c>
      <c r="H1291" s="13" t="s">
        <v>47</v>
      </c>
      <c r="I1291" s="13" t="s">
        <v>48</v>
      </c>
    </row>
    <row r="1292" spans="1:9" x14ac:dyDescent="0.3">
      <c r="A1292" s="12">
        <v>45972</v>
      </c>
      <c r="B1292" s="13" t="s">
        <v>17</v>
      </c>
      <c r="C1292" s="13" t="s">
        <v>25</v>
      </c>
      <c r="D1292" s="13" t="s">
        <v>27</v>
      </c>
      <c r="E1292" s="13">
        <v>9</v>
      </c>
      <c r="F1292" s="14">
        <v>54024</v>
      </c>
      <c r="G1292" s="14">
        <v>486216</v>
      </c>
      <c r="H1292" s="13" t="s">
        <v>47</v>
      </c>
      <c r="I1292" s="13" t="s">
        <v>48</v>
      </c>
    </row>
    <row r="1293" spans="1:9" x14ac:dyDescent="0.3">
      <c r="A1293" s="12">
        <v>45972</v>
      </c>
      <c r="B1293" s="13" t="s">
        <v>20</v>
      </c>
      <c r="C1293" s="13" t="s">
        <v>10</v>
      </c>
      <c r="D1293" s="13" t="s">
        <v>11</v>
      </c>
      <c r="E1293" s="13">
        <v>5</v>
      </c>
      <c r="F1293" s="14">
        <v>12222</v>
      </c>
      <c r="G1293" s="14">
        <v>61110</v>
      </c>
      <c r="H1293" s="13" t="s">
        <v>47</v>
      </c>
      <c r="I1293" s="13" t="s">
        <v>48</v>
      </c>
    </row>
    <row r="1294" spans="1:9" x14ac:dyDescent="0.3">
      <c r="A1294" s="12">
        <v>45973</v>
      </c>
      <c r="B1294" s="13" t="s">
        <v>9</v>
      </c>
      <c r="C1294" s="13" t="s">
        <v>22</v>
      </c>
      <c r="D1294" s="13" t="s">
        <v>26</v>
      </c>
      <c r="E1294" s="13">
        <v>3</v>
      </c>
      <c r="F1294" s="14">
        <v>7610</v>
      </c>
      <c r="G1294" s="14">
        <v>22830</v>
      </c>
      <c r="H1294" s="13" t="s">
        <v>47</v>
      </c>
      <c r="I1294" s="13" t="s">
        <v>48</v>
      </c>
    </row>
    <row r="1295" spans="1:9" x14ac:dyDescent="0.3">
      <c r="A1295" s="12">
        <v>45973</v>
      </c>
      <c r="B1295" s="13" t="s">
        <v>20</v>
      </c>
      <c r="C1295" s="13" t="s">
        <v>19</v>
      </c>
      <c r="D1295" s="13" t="s">
        <v>24</v>
      </c>
      <c r="E1295" s="13">
        <v>7</v>
      </c>
      <c r="F1295" s="14">
        <v>17712</v>
      </c>
      <c r="G1295" s="14">
        <v>123984</v>
      </c>
      <c r="H1295" s="13" t="s">
        <v>47</v>
      </c>
      <c r="I1295" s="13" t="s">
        <v>48</v>
      </c>
    </row>
    <row r="1296" spans="1:9" x14ac:dyDescent="0.3">
      <c r="A1296" s="12">
        <v>45973</v>
      </c>
      <c r="B1296" s="13" t="s">
        <v>17</v>
      </c>
      <c r="C1296" s="13" t="s">
        <v>25</v>
      </c>
      <c r="D1296" s="13" t="s">
        <v>16</v>
      </c>
      <c r="E1296" s="13">
        <v>3</v>
      </c>
      <c r="F1296" s="14">
        <v>55018</v>
      </c>
      <c r="G1296" s="14">
        <v>165054</v>
      </c>
      <c r="H1296" s="13" t="s">
        <v>47</v>
      </c>
      <c r="I1296" s="13" t="s">
        <v>48</v>
      </c>
    </row>
    <row r="1297" spans="1:9" x14ac:dyDescent="0.3">
      <c r="A1297" s="12">
        <v>45973</v>
      </c>
      <c r="B1297" s="13" t="s">
        <v>17</v>
      </c>
      <c r="C1297" s="13" t="s">
        <v>22</v>
      </c>
      <c r="D1297" s="13" t="s">
        <v>14</v>
      </c>
      <c r="E1297" s="13">
        <v>7</v>
      </c>
      <c r="F1297" s="14">
        <v>7968</v>
      </c>
      <c r="G1297" s="14">
        <v>55776</v>
      </c>
      <c r="H1297" s="13" t="s">
        <v>47</v>
      </c>
      <c r="I1297" s="13" t="s">
        <v>48</v>
      </c>
    </row>
    <row r="1298" spans="1:9" x14ac:dyDescent="0.3">
      <c r="A1298" s="12">
        <v>45974</v>
      </c>
      <c r="B1298" s="13" t="s">
        <v>9</v>
      </c>
      <c r="C1298" s="13" t="s">
        <v>15</v>
      </c>
      <c r="D1298" s="13" t="s">
        <v>28</v>
      </c>
      <c r="E1298" s="13">
        <v>8</v>
      </c>
      <c r="F1298" s="14">
        <v>21666</v>
      </c>
      <c r="G1298" s="14">
        <v>173328</v>
      </c>
      <c r="H1298" s="13" t="s">
        <v>47</v>
      </c>
      <c r="I1298" s="13" t="s">
        <v>48</v>
      </c>
    </row>
    <row r="1299" spans="1:9" x14ac:dyDescent="0.3">
      <c r="A1299" s="12">
        <v>45974</v>
      </c>
      <c r="B1299" s="13" t="s">
        <v>20</v>
      </c>
      <c r="C1299" s="13" t="s">
        <v>15</v>
      </c>
      <c r="D1299" s="13" t="s">
        <v>24</v>
      </c>
      <c r="E1299" s="13">
        <v>10</v>
      </c>
      <c r="F1299" s="14">
        <v>22050</v>
      </c>
      <c r="G1299" s="14">
        <v>220500</v>
      </c>
      <c r="H1299" s="13" t="s">
        <v>47</v>
      </c>
      <c r="I1299" s="13" t="s">
        <v>48</v>
      </c>
    </row>
    <row r="1300" spans="1:9" x14ac:dyDescent="0.3">
      <c r="A1300" s="12">
        <v>45975</v>
      </c>
      <c r="B1300" s="13" t="s">
        <v>17</v>
      </c>
      <c r="C1300" s="13" t="s">
        <v>10</v>
      </c>
      <c r="D1300" s="13" t="s">
        <v>11</v>
      </c>
      <c r="E1300" s="13">
        <v>1</v>
      </c>
      <c r="F1300" s="14">
        <v>12293</v>
      </c>
      <c r="G1300" s="14">
        <v>12293</v>
      </c>
      <c r="H1300" s="13" t="s">
        <v>47</v>
      </c>
      <c r="I1300" s="13" t="s">
        <v>48</v>
      </c>
    </row>
    <row r="1301" spans="1:9" x14ac:dyDescent="0.3">
      <c r="A1301" s="12">
        <v>45975</v>
      </c>
      <c r="B1301" s="13" t="s">
        <v>9</v>
      </c>
      <c r="C1301" s="13" t="s">
        <v>15</v>
      </c>
      <c r="D1301" s="13" t="s">
        <v>27</v>
      </c>
      <c r="E1301" s="13">
        <v>3</v>
      </c>
      <c r="F1301" s="14">
        <v>22413</v>
      </c>
      <c r="G1301" s="14">
        <v>67239</v>
      </c>
      <c r="H1301" s="13" t="s">
        <v>47</v>
      </c>
      <c r="I1301" s="13" t="s">
        <v>48</v>
      </c>
    </row>
    <row r="1302" spans="1:9" x14ac:dyDescent="0.3">
      <c r="A1302" s="12">
        <v>45975</v>
      </c>
      <c r="B1302" s="13" t="s">
        <v>20</v>
      </c>
      <c r="C1302" s="13" t="s">
        <v>15</v>
      </c>
      <c r="D1302" s="13" t="s">
        <v>16</v>
      </c>
      <c r="E1302" s="13">
        <v>3</v>
      </c>
      <c r="F1302" s="14">
        <v>23058</v>
      </c>
      <c r="G1302" s="14">
        <v>69174</v>
      </c>
      <c r="H1302" s="13" t="s">
        <v>47</v>
      </c>
      <c r="I1302" s="13" t="s">
        <v>48</v>
      </c>
    </row>
    <row r="1303" spans="1:9" x14ac:dyDescent="0.3">
      <c r="A1303" s="12">
        <v>45975</v>
      </c>
      <c r="B1303" s="13" t="s">
        <v>23</v>
      </c>
      <c r="C1303" s="13" t="s">
        <v>10</v>
      </c>
      <c r="D1303" s="13" t="s">
        <v>14</v>
      </c>
      <c r="E1303" s="13">
        <v>2</v>
      </c>
      <c r="F1303" s="14">
        <v>11422</v>
      </c>
      <c r="G1303" s="14">
        <v>22844</v>
      </c>
      <c r="H1303" s="13" t="s">
        <v>47</v>
      </c>
      <c r="I1303" s="13" t="s">
        <v>48</v>
      </c>
    </row>
    <row r="1304" spans="1:9" x14ac:dyDescent="0.3">
      <c r="A1304" s="12">
        <v>45976</v>
      </c>
      <c r="B1304" s="13" t="s">
        <v>23</v>
      </c>
      <c r="C1304" s="13" t="s">
        <v>25</v>
      </c>
      <c r="D1304" s="13" t="s">
        <v>16</v>
      </c>
      <c r="E1304" s="13">
        <v>2</v>
      </c>
      <c r="F1304" s="14">
        <v>52430</v>
      </c>
      <c r="G1304" s="14">
        <v>104860</v>
      </c>
      <c r="H1304" s="13" t="s">
        <v>47</v>
      </c>
      <c r="I1304" s="13" t="s">
        <v>48</v>
      </c>
    </row>
    <row r="1305" spans="1:9" x14ac:dyDescent="0.3">
      <c r="A1305" s="12">
        <v>45976</v>
      </c>
      <c r="B1305" s="13" t="s">
        <v>9</v>
      </c>
      <c r="C1305" s="13" t="s">
        <v>21</v>
      </c>
      <c r="D1305" s="13" t="s">
        <v>14</v>
      </c>
      <c r="E1305" s="13">
        <v>5</v>
      </c>
      <c r="F1305" s="14">
        <v>3340</v>
      </c>
      <c r="G1305" s="14">
        <v>16700</v>
      </c>
      <c r="H1305" s="13" t="s">
        <v>47</v>
      </c>
      <c r="I1305" s="13" t="s">
        <v>48</v>
      </c>
    </row>
    <row r="1306" spans="1:9" x14ac:dyDescent="0.3">
      <c r="A1306" s="12">
        <v>45976</v>
      </c>
      <c r="B1306" s="13" t="s">
        <v>20</v>
      </c>
      <c r="C1306" s="13" t="s">
        <v>10</v>
      </c>
      <c r="D1306" s="13" t="s">
        <v>28</v>
      </c>
      <c r="E1306" s="13">
        <v>2</v>
      </c>
      <c r="F1306" s="14">
        <v>12338</v>
      </c>
      <c r="G1306" s="14">
        <v>24676</v>
      </c>
      <c r="H1306" s="13" t="s">
        <v>47</v>
      </c>
      <c r="I1306" s="13" t="s">
        <v>48</v>
      </c>
    </row>
    <row r="1307" spans="1:9" x14ac:dyDescent="0.3">
      <c r="A1307" s="12">
        <v>45976</v>
      </c>
      <c r="B1307" s="13" t="s">
        <v>17</v>
      </c>
      <c r="C1307" s="13" t="s">
        <v>22</v>
      </c>
      <c r="D1307" s="13" t="s">
        <v>16</v>
      </c>
      <c r="E1307" s="13">
        <v>3</v>
      </c>
      <c r="F1307" s="14">
        <v>8136</v>
      </c>
      <c r="G1307" s="14">
        <v>24408</v>
      </c>
      <c r="H1307" s="13" t="s">
        <v>47</v>
      </c>
      <c r="I1307" s="13" t="s">
        <v>48</v>
      </c>
    </row>
    <row r="1308" spans="1:9" x14ac:dyDescent="0.3">
      <c r="A1308" s="12">
        <v>45976</v>
      </c>
      <c r="B1308" s="13" t="s">
        <v>9</v>
      </c>
      <c r="C1308" s="13" t="s">
        <v>25</v>
      </c>
      <c r="D1308" s="13" t="s">
        <v>27</v>
      </c>
      <c r="E1308" s="13">
        <v>5</v>
      </c>
      <c r="F1308" s="14">
        <v>57468</v>
      </c>
      <c r="G1308" s="14">
        <v>287340</v>
      </c>
      <c r="H1308" s="13" t="s">
        <v>47</v>
      </c>
      <c r="I1308" s="13" t="s">
        <v>48</v>
      </c>
    </row>
    <row r="1309" spans="1:9" x14ac:dyDescent="0.3">
      <c r="A1309" s="12">
        <v>45977</v>
      </c>
      <c r="B1309" s="13" t="s">
        <v>20</v>
      </c>
      <c r="C1309" s="13" t="s">
        <v>15</v>
      </c>
      <c r="D1309" s="13" t="s">
        <v>16</v>
      </c>
      <c r="E1309" s="13">
        <v>9</v>
      </c>
      <c r="F1309" s="14">
        <v>22154</v>
      </c>
      <c r="G1309" s="14">
        <v>199386</v>
      </c>
      <c r="H1309" s="13" t="s">
        <v>47</v>
      </c>
      <c r="I1309" s="13" t="s">
        <v>48</v>
      </c>
    </row>
    <row r="1310" spans="1:9" x14ac:dyDescent="0.3">
      <c r="A1310" s="12">
        <v>45977</v>
      </c>
      <c r="B1310" s="13" t="s">
        <v>9</v>
      </c>
      <c r="C1310" s="13" t="s">
        <v>22</v>
      </c>
      <c r="D1310" s="13" t="s">
        <v>28</v>
      </c>
      <c r="E1310" s="13">
        <v>9</v>
      </c>
      <c r="F1310" s="14">
        <v>7773</v>
      </c>
      <c r="G1310" s="14">
        <v>69957</v>
      </c>
      <c r="H1310" s="13" t="s">
        <v>47</v>
      </c>
      <c r="I1310" s="13" t="s">
        <v>48</v>
      </c>
    </row>
    <row r="1311" spans="1:9" x14ac:dyDescent="0.3">
      <c r="A1311" s="12">
        <v>45977</v>
      </c>
      <c r="B1311" s="13" t="s">
        <v>17</v>
      </c>
      <c r="C1311" s="13" t="s">
        <v>19</v>
      </c>
      <c r="D1311" s="13" t="s">
        <v>27</v>
      </c>
      <c r="E1311" s="13">
        <v>9</v>
      </c>
      <c r="F1311" s="14">
        <v>17107</v>
      </c>
      <c r="G1311" s="14">
        <v>153963</v>
      </c>
      <c r="H1311" s="13" t="s">
        <v>47</v>
      </c>
      <c r="I1311" s="13" t="s">
        <v>48</v>
      </c>
    </row>
    <row r="1312" spans="1:9" x14ac:dyDescent="0.3">
      <c r="A1312" s="12">
        <v>45977</v>
      </c>
      <c r="B1312" s="13" t="s">
        <v>9</v>
      </c>
      <c r="C1312" s="13" t="s">
        <v>15</v>
      </c>
      <c r="D1312" s="13" t="s">
        <v>24</v>
      </c>
      <c r="E1312" s="13">
        <v>6</v>
      </c>
      <c r="F1312" s="14">
        <v>22435</v>
      </c>
      <c r="G1312" s="14">
        <v>134610</v>
      </c>
      <c r="H1312" s="13" t="s">
        <v>47</v>
      </c>
      <c r="I1312" s="13" t="s">
        <v>48</v>
      </c>
    </row>
    <row r="1313" spans="1:9" x14ac:dyDescent="0.3">
      <c r="A1313" s="12">
        <v>45978</v>
      </c>
      <c r="B1313" s="13" t="s">
        <v>23</v>
      </c>
      <c r="C1313" s="13" t="s">
        <v>10</v>
      </c>
      <c r="D1313" s="13" t="s">
        <v>14</v>
      </c>
      <c r="E1313" s="13">
        <v>3</v>
      </c>
      <c r="F1313" s="14">
        <v>12401</v>
      </c>
      <c r="G1313" s="14">
        <v>37203</v>
      </c>
      <c r="H1313" s="13" t="s">
        <v>47</v>
      </c>
      <c r="I1313" s="13" t="s">
        <v>48</v>
      </c>
    </row>
    <row r="1314" spans="1:9" x14ac:dyDescent="0.3">
      <c r="A1314" s="12">
        <v>45978</v>
      </c>
      <c r="B1314" s="13" t="s">
        <v>23</v>
      </c>
      <c r="C1314" s="13" t="s">
        <v>21</v>
      </c>
      <c r="D1314" s="13" t="s">
        <v>16</v>
      </c>
      <c r="E1314" s="13">
        <v>9</v>
      </c>
      <c r="F1314" s="14">
        <v>3404</v>
      </c>
      <c r="G1314" s="14">
        <v>30636</v>
      </c>
      <c r="H1314" s="13" t="s">
        <v>47</v>
      </c>
      <c r="I1314" s="13" t="s">
        <v>48</v>
      </c>
    </row>
    <row r="1315" spans="1:9" x14ac:dyDescent="0.3">
      <c r="A1315" s="12">
        <v>45978</v>
      </c>
      <c r="B1315" s="13" t="s">
        <v>9</v>
      </c>
      <c r="C1315" s="13" t="s">
        <v>19</v>
      </c>
      <c r="D1315" s="13" t="s">
        <v>14</v>
      </c>
      <c r="E1315" s="13">
        <v>8</v>
      </c>
      <c r="F1315" s="14">
        <v>17298</v>
      </c>
      <c r="G1315" s="14">
        <v>138384</v>
      </c>
      <c r="H1315" s="13" t="s">
        <v>47</v>
      </c>
      <c r="I1315" s="13" t="s">
        <v>48</v>
      </c>
    </row>
    <row r="1316" spans="1:9" x14ac:dyDescent="0.3">
      <c r="A1316" s="12">
        <v>45979</v>
      </c>
      <c r="B1316" s="13" t="s">
        <v>23</v>
      </c>
      <c r="C1316" s="13" t="s">
        <v>19</v>
      </c>
      <c r="D1316" s="13" t="s">
        <v>11</v>
      </c>
      <c r="E1316" s="13">
        <v>9</v>
      </c>
      <c r="F1316" s="14">
        <v>18399</v>
      </c>
      <c r="G1316" s="14">
        <v>165591</v>
      </c>
      <c r="H1316" s="13" t="s">
        <v>47</v>
      </c>
      <c r="I1316" s="13" t="s">
        <v>48</v>
      </c>
    </row>
    <row r="1317" spans="1:9" x14ac:dyDescent="0.3">
      <c r="A1317" s="12">
        <v>45979</v>
      </c>
      <c r="B1317" s="13" t="s">
        <v>9</v>
      </c>
      <c r="C1317" s="13" t="s">
        <v>19</v>
      </c>
      <c r="D1317" s="13" t="s">
        <v>24</v>
      </c>
      <c r="E1317" s="13">
        <v>2</v>
      </c>
      <c r="F1317" s="14">
        <v>17792</v>
      </c>
      <c r="G1317" s="14">
        <v>35584</v>
      </c>
      <c r="H1317" s="13" t="s">
        <v>47</v>
      </c>
      <c r="I1317" s="13" t="s">
        <v>48</v>
      </c>
    </row>
    <row r="1318" spans="1:9" x14ac:dyDescent="0.3">
      <c r="A1318" s="12">
        <v>45979</v>
      </c>
      <c r="B1318" s="13" t="s">
        <v>23</v>
      </c>
      <c r="C1318" s="13" t="s">
        <v>22</v>
      </c>
      <c r="D1318" s="13" t="s">
        <v>11</v>
      </c>
      <c r="E1318" s="13">
        <v>8</v>
      </c>
      <c r="F1318" s="14">
        <v>7780</v>
      </c>
      <c r="G1318" s="14">
        <v>62240</v>
      </c>
      <c r="H1318" s="13" t="s">
        <v>47</v>
      </c>
      <c r="I1318" s="13" t="s">
        <v>48</v>
      </c>
    </row>
    <row r="1319" spans="1:9" x14ac:dyDescent="0.3">
      <c r="A1319" s="12">
        <v>45980</v>
      </c>
      <c r="B1319" s="13" t="s">
        <v>20</v>
      </c>
      <c r="C1319" s="13" t="s">
        <v>21</v>
      </c>
      <c r="D1319" s="13" t="s">
        <v>16</v>
      </c>
      <c r="E1319" s="13">
        <v>2</v>
      </c>
      <c r="F1319" s="14">
        <v>3638</v>
      </c>
      <c r="G1319" s="14">
        <v>7276</v>
      </c>
      <c r="H1319" s="13" t="s">
        <v>47</v>
      </c>
      <c r="I1319" s="13" t="s">
        <v>48</v>
      </c>
    </row>
    <row r="1320" spans="1:9" x14ac:dyDescent="0.3">
      <c r="A1320" s="12">
        <v>45980</v>
      </c>
      <c r="B1320" s="13" t="s">
        <v>23</v>
      </c>
      <c r="C1320" s="13" t="s">
        <v>10</v>
      </c>
      <c r="D1320" s="13" t="s">
        <v>26</v>
      </c>
      <c r="E1320" s="13">
        <v>3</v>
      </c>
      <c r="F1320" s="14">
        <v>11415</v>
      </c>
      <c r="G1320" s="14">
        <v>34245</v>
      </c>
      <c r="H1320" s="13" t="s">
        <v>47</v>
      </c>
      <c r="I1320" s="13" t="s">
        <v>48</v>
      </c>
    </row>
    <row r="1321" spans="1:9" x14ac:dyDescent="0.3">
      <c r="A1321" s="12">
        <v>45980</v>
      </c>
      <c r="B1321" s="13" t="s">
        <v>23</v>
      </c>
      <c r="C1321" s="13" t="s">
        <v>10</v>
      </c>
      <c r="D1321" s="13" t="s">
        <v>14</v>
      </c>
      <c r="E1321" s="13">
        <v>7</v>
      </c>
      <c r="F1321" s="14">
        <v>11925</v>
      </c>
      <c r="G1321" s="14">
        <v>83475</v>
      </c>
      <c r="H1321" s="13" t="s">
        <v>47</v>
      </c>
      <c r="I1321" s="13" t="s">
        <v>48</v>
      </c>
    </row>
    <row r="1322" spans="1:9" x14ac:dyDescent="0.3">
      <c r="A1322" s="12">
        <v>45980</v>
      </c>
      <c r="B1322" s="13" t="s">
        <v>9</v>
      </c>
      <c r="C1322" s="13" t="s">
        <v>25</v>
      </c>
      <c r="D1322" s="13" t="s">
        <v>27</v>
      </c>
      <c r="E1322" s="13">
        <v>7</v>
      </c>
      <c r="F1322" s="14">
        <v>54453</v>
      </c>
      <c r="G1322" s="14">
        <v>381171</v>
      </c>
      <c r="H1322" s="13" t="s">
        <v>47</v>
      </c>
      <c r="I1322" s="13" t="s">
        <v>48</v>
      </c>
    </row>
    <row r="1323" spans="1:9" x14ac:dyDescent="0.3">
      <c r="A1323" s="12">
        <v>45980</v>
      </c>
      <c r="B1323" s="13" t="s">
        <v>9</v>
      </c>
      <c r="C1323" s="13" t="s">
        <v>10</v>
      </c>
      <c r="D1323" s="13" t="s">
        <v>27</v>
      </c>
      <c r="E1323" s="13">
        <v>2</v>
      </c>
      <c r="F1323" s="14">
        <v>11836</v>
      </c>
      <c r="G1323" s="14">
        <v>23672</v>
      </c>
      <c r="H1323" s="13" t="s">
        <v>47</v>
      </c>
      <c r="I1323" s="13" t="s">
        <v>48</v>
      </c>
    </row>
    <row r="1324" spans="1:9" x14ac:dyDescent="0.3">
      <c r="A1324" s="12">
        <v>45981</v>
      </c>
      <c r="B1324" s="13" t="s">
        <v>20</v>
      </c>
      <c r="C1324" s="13" t="s">
        <v>15</v>
      </c>
      <c r="D1324" s="13" t="s">
        <v>18</v>
      </c>
      <c r="E1324" s="13">
        <v>2</v>
      </c>
      <c r="F1324" s="14">
        <v>21412</v>
      </c>
      <c r="G1324" s="14">
        <v>42824</v>
      </c>
      <c r="H1324" s="13" t="s">
        <v>47</v>
      </c>
      <c r="I1324" s="13" t="s">
        <v>48</v>
      </c>
    </row>
    <row r="1325" spans="1:9" x14ac:dyDescent="0.3">
      <c r="A1325" s="12">
        <v>45981</v>
      </c>
      <c r="B1325" s="13" t="s">
        <v>23</v>
      </c>
      <c r="C1325" s="13" t="s">
        <v>10</v>
      </c>
      <c r="D1325" s="13" t="s">
        <v>24</v>
      </c>
      <c r="E1325" s="13">
        <v>5</v>
      </c>
      <c r="F1325" s="14">
        <v>12317</v>
      </c>
      <c r="G1325" s="14">
        <v>61585</v>
      </c>
      <c r="H1325" s="13" t="s">
        <v>47</v>
      </c>
      <c r="I1325" s="13" t="s">
        <v>48</v>
      </c>
    </row>
    <row r="1326" spans="1:9" x14ac:dyDescent="0.3">
      <c r="A1326" s="12">
        <v>45981</v>
      </c>
      <c r="B1326" s="13" t="s">
        <v>20</v>
      </c>
      <c r="C1326" s="13" t="s">
        <v>10</v>
      </c>
      <c r="D1326" s="13" t="s">
        <v>18</v>
      </c>
      <c r="E1326" s="13">
        <v>6</v>
      </c>
      <c r="F1326" s="14">
        <v>11970</v>
      </c>
      <c r="G1326" s="14">
        <v>71820</v>
      </c>
      <c r="H1326" s="13" t="s">
        <v>47</v>
      </c>
      <c r="I1326" s="13" t="s">
        <v>48</v>
      </c>
    </row>
    <row r="1327" spans="1:9" x14ac:dyDescent="0.3">
      <c r="A1327" s="12">
        <v>45982</v>
      </c>
      <c r="B1327" s="13" t="s">
        <v>23</v>
      </c>
      <c r="C1327" s="13" t="s">
        <v>21</v>
      </c>
      <c r="D1327" s="13" t="s">
        <v>11</v>
      </c>
      <c r="E1327" s="13">
        <v>3</v>
      </c>
      <c r="F1327" s="14">
        <v>3593</v>
      </c>
      <c r="G1327" s="14">
        <v>10779</v>
      </c>
      <c r="H1327" s="13" t="s">
        <v>47</v>
      </c>
      <c r="I1327" s="13" t="s">
        <v>48</v>
      </c>
    </row>
    <row r="1328" spans="1:9" x14ac:dyDescent="0.3">
      <c r="A1328" s="12">
        <v>45982</v>
      </c>
      <c r="B1328" s="13" t="s">
        <v>9</v>
      </c>
      <c r="C1328" s="13" t="s">
        <v>25</v>
      </c>
      <c r="D1328" s="13" t="s">
        <v>11</v>
      </c>
      <c r="E1328" s="13">
        <v>8</v>
      </c>
      <c r="F1328" s="14">
        <v>54985</v>
      </c>
      <c r="G1328" s="14">
        <v>439880</v>
      </c>
      <c r="H1328" s="13" t="s">
        <v>47</v>
      </c>
      <c r="I1328" s="13" t="s">
        <v>48</v>
      </c>
    </row>
    <row r="1329" spans="1:9" x14ac:dyDescent="0.3">
      <c r="A1329" s="12">
        <v>45982</v>
      </c>
      <c r="B1329" s="13" t="s">
        <v>17</v>
      </c>
      <c r="C1329" s="13" t="s">
        <v>25</v>
      </c>
      <c r="D1329" s="13" t="s">
        <v>14</v>
      </c>
      <c r="E1329" s="13">
        <v>1</v>
      </c>
      <c r="F1329" s="14">
        <v>56816</v>
      </c>
      <c r="G1329" s="14">
        <v>56816</v>
      </c>
      <c r="H1329" s="13" t="s">
        <v>47</v>
      </c>
      <c r="I1329" s="13" t="s">
        <v>48</v>
      </c>
    </row>
    <row r="1330" spans="1:9" x14ac:dyDescent="0.3">
      <c r="A1330" s="12">
        <v>45982</v>
      </c>
      <c r="B1330" s="13" t="s">
        <v>23</v>
      </c>
      <c r="C1330" s="13" t="s">
        <v>10</v>
      </c>
      <c r="D1330" s="13" t="s">
        <v>28</v>
      </c>
      <c r="E1330" s="13">
        <v>3</v>
      </c>
      <c r="F1330" s="14">
        <v>11859</v>
      </c>
      <c r="G1330" s="14">
        <v>35577</v>
      </c>
      <c r="H1330" s="13" t="s">
        <v>47</v>
      </c>
      <c r="I1330" s="13" t="s">
        <v>48</v>
      </c>
    </row>
    <row r="1331" spans="1:9" x14ac:dyDescent="0.3">
      <c r="A1331" s="12">
        <v>45982</v>
      </c>
      <c r="B1331" s="13" t="s">
        <v>20</v>
      </c>
      <c r="C1331" s="13" t="s">
        <v>15</v>
      </c>
      <c r="D1331" s="13" t="s">
        <v>11</v>
      </c>
      <c r="E1331" s="13">
        <v>10</v>
      </c>
      <c r="F1331" s="14">
        <v>22271</v>
      </c>
      <c r="G1331" s="14">
        <v>222710</v>
      </c>
      <c r="H1331" s="13" t="s">
        <v>47</v>
      </c>
      <c r="I1331" s="13" t="s">
        <v>48</v>
      </c>
    </row>
    <row r="1332" spans="1:9" x14ac:dyDescent="0.3">
      <c r="A1332" s="12">
        <v>45982</v>
      </c>
      <c r="B1332" s="13" t="s">
        <v>9</v>
      </c>
      <c r="C1332" s="13" t="s">
        <v>10</v>
      </c>
      <c r="D1332" s="13" t="s">
        <v>24</v>
      </c>
      <c r="E1332" s="13">
        <v>8</v>
      </c>
      <c r="F1332" s="14">
        <v>11642</v>
      </c>
      <c r="G1332" s="14">
        <v>93136</v>
      </c>
      <c r="H1332" s="13" t="s">
        <v>47</v>
      </c>
      <c r="I1332" s="13" t="s">
        <v>48</v>
      </c>
    </row>
    <row r="1333" spans="1:9" x14ac:dyDescent="0.3">
      <c r="A1333" s="12">
        <v>45983</v>
      </c>
      <c r="B1333" s="13" t="s">
        <v>23</v>
      </c>
      <c r="C1333" s="13" t="s">
        <v>22</v>
      </c>
      <c r="D1333" s="13" t="s">
        <v>11</v>
      </c>
      <c r="E1333" s="13">
        <v>9</v>
      </c>
      <c r="F1333" s="14">
        <v>7874</v>
      </c>
      <c r="G1333" s="14">
        <v>70866</v>
      </c>
      <c r="H1333" s="13" t="s">
        <v>47</v>
      </c>
      <c r="I1333" s="13" t="s">
        <v>48</v>
      </c>
    </row>
    <row r="1334" spans="1:9" x14ac:dyDescent="0.3">
      <c r="A1334" s="12">
        <v>45983</v>
      </c>
      <c r="B1334" s="13" t="s">
        <v>9</v>
      </c>
      <c r="C1334" s="13" t="s">
        <v>25</v>
      </c>
      <c r="D1334" s="13" t="s">
        <v>18</v>
      </c>
      <c r="E1334" s="13">
        <v>2</v>
      </c>
      <c r="F1334" s="14">
        <v>54359</v>
      </c>
      <c r="G1334" s="14">
        <v>108718</v>
      </c>
      <c r="H1334" s="13" t="s">
        <v>47</v>
      </c>
      <c r="I1334" s="13" t="s">
        <v>48</v>
      </c>
    </row>
    <row r="1335" spans="1:9" x14ac:dyDescent="0.3">
      <c r="A1335" s="12">
        <v>45983</v>
      </c>
      <c r="B1335" s="13" t="s">
        <v>20</v>
      </c>
      <c r="C1335" s="13" t="s">
        <v>21</v>
      </c>
      <c r="D1335" s="13" t="s">
        <v>24</v>
      </c>
      <c r="E1335" s="13">
        <v>8</v>
      </c>
      <c r="F1335" s="14">
        <v>3337</v>
      </c>
      <c r="G1335" s="14">
        <v>26696</v>
      </c>
      <c r="H1335" s="13" t="s">
        <v>47</v>
      </c>
      <c r="I1335" s="13" t="s">
        <v>48</v>
      </c>
    </row>
    <row r="1336" spans="1:9" x14ac:dyDescent="0.3">
      <c r="A1336" s="12">
        <v>45983</v>
      </c>
      <c r="B1336" s="13" t="s">
        <v>17</v>
      </c>
      <c r="C1336" s="13" t="s">
        <v>22</v>
      </c>
      <c r="D1336" s="13" t="s">
        <v>11</v>
      </c>
      <c r="E1336" s="13">
        <v>3</v>
      </c>
      <c r="F1336" s="14">
        <v>7993</v>
      </c>
      <c r="G1336" s="14">
        <v>23979</v>
      </c>
      <c r="H1336" s="13" t="s">
        <v>47</v>
      </c>
      <c r="I1336" s="13" t="s">
        <v>48</v>
      </c>
    </row>
    <row r="1337" spans="1:9" x14ac:dyDescent="0.3">
      <c r="A1337" s="12">
        <v>45983</v>
      </c>
      <c r="B1337" s="13" t="s">
        <v>17</v>
      </c>
      <c r="C1337" s="13" t="s">
        <v>19</v>
      </c>
      <c r="D1337" s="13" t="s">
        <v>18</v>
      </c>
      <c r="E1337" s="13">
        <v>8</v>
      </c>
      <c r="F1337" s="14">
        <v>18475</v>
      </c>
      <c r="G1337" s="14">
        <v>147800</v>
      </c>
      <c r="H1337" s="13" t="s">
        <v>47</v>
      </c>
      <c r="I1337" s="13" t="s">
        <v>48</v>
      </c>
    </row>
    <row r="1338" spans="1:9" x14ac:dyDescent="0.3">
      <c r="A1338" s="12">
        <v>45984</v>
      </c>
      <c r="B1338" s="13" t="s">
        <v>23</v>
      </c>
      <c r="C1338" s="13" t="s">
        <v>10</v>
      </c>
      <c r="D1338" s="13" t="s">
        <v>24</v>
      </c>
      <c r="E1338" s="13">
        <v>8</v>
      </c>
      <c r="F1338" s="14">
        <v>12074</v>
      </c>
      <c r="G1338" s="14">
        <v>96592</v>
      </c>
      <c r="H1338" s="13" t="s">
        <v>47</v>
      </c>
      <c r="I1338" s="13" t="s">
        <v>48</v>
      </c>
    </row>
    <row r="1339" spans="1:9" x14ac:dyDescent="0.3">
      <c r="A1339" s="12">
        <v>45984</v>
      </c>
      <c r="B1339" s="13" t="s">
        <v>17</v>
      </c>
      <c r="C1339" s="13" t="s">
        <v>22</v>
      </c>
      <c r="D1339" s="13" t="s">
        <v>28</v>
      </c>
      <c r="E1339" s="13">
        <v>7</v>
      </c>
      <c r="F1339" s="14">
        <v>7810</v>
      </c>
      <c r="G1339" s="14">
        <v>54670</v>
      </c>
      <c r="H1339" s="13" t="s">
        <v>47</v>
      </c>
      <c r="I1339" s="13" t="s">
        <v>48</v>
      </c>
    </row>
    <row r="1340" spans="1:9" x14ac:dyDescent="0.3">
      <c r="A1340" s="12">
        <v>45984</v>
      </c>
      <c r="B1340" s="13" t="s">
        <v>23</v>
      </c>
      <c r="C1340" s="13" t="s">
        <v>22</v>
      </c>
      <c r="D1340" s="13" t="s">
        <v>26</v>
      </c>
      <c r="E1340" s="13">
        <v>5</v>
      </c>
      <c r="F1340" s="14">
        <v>7856</v>
      </c>
      <c r="G1340" s="14">
        <v>39280</v>
      </c>
      <c r="H1340" s="13" t="s">
        <v>47</v>
      </c>
      <c r="I1340" s="13" t="s">
        <v>48</v>
      </c>
    </row>
    <row r="1341" spans="1:9" x14ac:dyDescent="0.3">
      <c r="A1341" s="12">
        <v>45984</v>
      </c>
      <c r="B1341" s="13" t="s">
        <v>9</v>
      </c>
      <c r="C1341" s="13" t="s">
        <v>22</v>
      </c>
      <c r="D1341" s="13" t="s">
        <v>28</v>
      </c>
      <c r="E1341" s="13">
        <v>3</v>
      </c>
      <c r="F1341" s="14">
        <v>8269</v>
      </c>
      <c r="G1341" s="14">
        <v>24807</v>
      </c>
      <c r="H1341" s="13" t="s">
        <v>47</v>
      </c>
      <c r="I1341" s="13" t="s">
        <v>48</v>
      </c>
    </row>
    <row r="1342" spans="1:9" x14ac:dyDescent="0.3">
      <c r="A1342" s="12">
        <v>45984</v>
      </c>
      <c r="B1342" s="13" t="s">
        <v>20</v>
      </c>
      <c r="C1342" s="13" t="s">
        <v>10</v>
      </c>
      <c r="D1342" s="13" t="s">
        <v>28</v>
      </c>
      <c r="E1342" s="13">
        <v>6</v>
      </c>
      <c r="F1342" s="14">
        <v>11856</v>
      </c>
      <c r="G1342" s="14">
        <v>71136</v>
      </c>
      <c r="H1342" s="13" t="s">
        <v>47</v>
      </c>
      <c r="I1342" s="13" t="s">
        <v>48</v>
      </c>
    </row>
    <row r="1343" spans="1:9" x14ac:dyDescent="0.3">
      <c r="A1343" s="12">
        <v>45984</v>
      </c>
      <c r="B1343" s="13" t="s">
        <v>23</v>
      </c>
      <c r="C1343" s="13" t="s">
        <v>19</v>
      </c>
      <c r="D1343" s="13" t="s">
        <v>26</v>
      </c>
      <c r="E1343" s="13">
        <v>7</v>
      </c>
      <c r="F1343" s="14">
        <v>17732</v>
      </c>
      <c r="G1343" s="14">
        <v>124124</v>
      </c>
      <c r="H1343" s="13" t="s">
        <v>47</v>
      </c>
      <c r="I1343" s="13" t="s">
        <v>48</v>
      </c>
    </row>
    <row r="1344" spans="1:9" x14ac:dyDescent="0.3">
      <c r="A1344" s="12">
        <v>45985</v>
      </c>
      <c r="B1344" s="13" t="s">
        <v>17</v>
      </c>
      <c r="C1344" s="13" t="s">
        <v>15</v>
      </c>
      <c r="D1344" s="13" t="s">
        <v>11</v>
      </c>
      <c r="E1344" s="13">
        <v>10</v>
      </c>
      <c r="F1344" s="14">
        <v>21086</v>
      </c>
      <c r="G1344" s="14">
        <v>210860</v>
      </c>
      <c r="H1344" s="13" t="s">
        <v>47</v>
      </c>
      <c r="I1344" s="13" t="s">
        <v>48</v>
      </c>
    </row>
    <row r="1345" spans="1:9" x14ac:dyDescent="0.3">
      <c r="A1345" s="12">
        <v>45985</v>
      </c>
      <c r="B1345" s="13" t="s">
        <v>9</v>
      </c>
      <c r="C1345" s="13" t="s">
        <v>19</v>
      </c>
      <c r="D1345" s="13" t="s">
        <v>14</v>
      </c>
      <c r="E1345" s="13">
        <v>6</v>
      </c>
      <c r="F1345" s="14">
        <v>17405</v>
      </c>
      <c r="G1345" s="14">
        <v>104430</v>
      </c>
      <c r="H1345" s="13" t="s">
        <v>47</v>
      </c>
      <c r="I1345" s="13" t="s">
        <v>48</v>
      </c>
    </row>
    <row r="1346" spans="1:9" x14ac:dyDescent="0.3">
      <c r="A1346" s="12">
        <v>45985</v>
      </c>
      <c r="B1346" s="13" t="s">
        <v>20</v>
      </c>
      <c r="C1346" s="13" t="s">
        <v>25</v>
      </c>
      <c r="D1346" s="13" t="s">
        <v>24</v>
      </c>
      <c r="E1346" s="13">
        <v>7</v>
      </c>
      <c r="F1346" s="14">
        <v>55374</v>
      </c>
      <c r="G1346" s="14">
        <v>387618</v>
      </c>
      <c r="H1346" s="13" t="s">
        <v>47</v>
      </c>
      <c r="I1346" s="13" t="s">
        <v>48</v>
      </c>
    </row>
    <row r="1347" spans="1:9" x14ac:dyDescent="0.3">
      <c r="A1347" s="12">
        <v>45986</v>
      </c>
      <c r="B1347" s="13" t="s">
        <v>20</v>
      </c>
      <c r="C1347" s="13" t="s">
        <v>25</v>
      </c>
      <c r="D1347" s="13" t="s">
        <v>24</v>
      </c>
      <c r="E1347" s="13">
        <v>10</v>
      </c>
      <c r="F1347" s="14">
        <v>52372</v>
      </c>
      <c r="G1347" s="14">
        <v>523720</v>
      </c>
      <c r="H1347" s="13" t="s">
        <v>47</v>
      </c>
      <c r="I1347" s="13" t="s">
        <v>48</v>
      </c>
    </row>
    <row r="1348" spans="1:9" x14ac:dyDescent="0.3">
      <c r="A1348" s="12">
        <v>45986</v>
      </c>
      <c r="B1348" s="13" t="s">
        <v>20</v>
      </c>
      <c r="C1348" s="13" t="s">
        <v>21</v>
      </c>
      <c r="D1348" s="13" t="s">
        <v>18</v>
      </c>
      <c r="E1348" s="13">
        <v>6</v>
      </c>
      <c r="F1348" s="14">
        <v>3525</v>
      </c>
      <c r="G1348" s="14">
        <v>21150</v>
      </c>
      <c r="H1348" s="13" t="s">
        <v>47</v>
      </c>
      <c r="I1348" s="13" t="s">
        <v>48</v>
      </c>
    </row>
    <row r="1349" spans="1:9" x14ac:dyDescent="0.3">
      <c r="A1349" s="12">
        <v>45986</v>
      </c>
      <c r="B1349" s="13" t="s">
        <v>23</v>
      </c>
      <c r="C1349" s="13" t="s">
        <v>25</v>
      </c>
      <c r="D1349" s="13" t="s">
        <v>16</v>
      </c>
      <c r="E1349" s="13">
        <v>6</v>
      </c>
      <c r="F1349" s="14">
        <v>54982</v>
      </c>
      <c r="G1349" s="14">
        <v>329892</v>
      </c>
      <c r="H1349" s="13" t="s">
        <v>47</v>
      </c>
      <c r="I1349" s="13" t="s">
        <v>48</v>
      </c>
    </row>
    <row r="1350" spans="1:9" x14ac:dyDescent="0.3">
      <c r="A1350" s="12">
        <v>45986</v>
      </c>
      <c r="B1350" s="13" t="s">
        <v>20</v>
      </c>
      <c r="C1350" s="13" t="s">
        <v>15</v>
      </c>
      <c r="D1350" s="13" t="s">
        <v>11</v>
      </c>
      <c r="E1350" s="13">
        <v>6</v>
      </c>
      <c r="F1350" s="14">
        <v>23032</v>
      </c>
      <c r="G1350" s="14">
        <v>138192</v>
      </c>
      <c r="H1350" s="13" t="s">
        <v>47</v>
      </c>
      <c r="I1350" s="13" t="s">
        <v>48</v>
      </c>
    </row>
    <row r="1351" spans="1:9" x14ac:dyDescent="0.3">
      <c r="A1351" s="12">
        <v>45986</v>
      </c>
      <c r="B1351" s="13" t="s">
        <v>17</v>
      </c>
      <c r="C1351" s="13" t="s">
        <v>21</v>
      </c>
      <c r="D1351" s="13" t="s">
        <v>14</v>
      </c>
      <c r="E1351" s="13">
        <v>9</v>
      </c>
      <c r="F1351" s="14">
        <v>3399</v>
      </c>
      <c r="G1351" s="14">
        <v>30591</v>
      </c>
      <c r="H1351" s="13" t="s">
        <v>47</v>
      </c>
      <c r="I1351" s="13" t="s">
        <v>48</v>
      </c>
    </row>
    <row r="1352" spans="1:9" x14ac:dyDescent="0.3">
      <c r="A1352" s="12">
        <v>45987</v>
      </c>
      <c r="B1352" s="13" t="s">
        <v>9</v>
      </c>
      <c r="C1352" s="13" t="s">
        <v>19</v>
      </c>
      <c r="D1352" s="13" t="s">
        <v>18</v>
      </c>
      <c r="E1352" s="13">
        <v>4</v>
      </c>
      <c r="F1352" s="14">
        <v>18224</v>
      </c>
      <c r="G1352" s="14">
        <v>72896</v>
      </c>
      <c r="H1352" s="13" t="s">
        <v>47</v>
      </c>
      <c r="I1352" s="13" t="s">
        <v>48</v>
      </c>
    </row>
    <row r="1353" spans="1:9" x14ac:dyDescent="0.3">
      <c r="A1353" s="12">
        <v>45987</v>
      </c>
      <c r="B1353" s="13" t="s">
        <v>9</v>
      </c>
      <c r="C1353" s="13" t="s">
        <v>10</v>
      </c>
      <c r="D1353" s="13" t="s">
        <v>14</v>
      </c>
      <c r="E1353" s="13">
        <v>10</v>
      </c>
      <c r="F1353" s="14">
        <v>11804</v>
      </c>
      <c r="G1353" s="14">
        <v>118040</v>
      </c>
      <c r="H1353" s="13" t="s">
        <v>47</v>
      </c>
      <c r="I1353" s="13" t="s">
        <v>48</v>
      </c>
    </row>
    <row r="1354" spans="1:9" x14ac:dyDescent="0.3">
      <c r="A1354" s="12">
        <v>45987</v>
      </c>
      <c r="B1354" s="13" t="s">
        <v>9</v>
      </c>
      <c r="C1354" s="13" t="s">
        <v>22</v>
      </c>
      <c r="D1354" s="13" t="s">
        <v>24</v>
      </c>
      <c r="E1354" s="13">
        <v>7</v>
      </c>
      <c r="F1354" s="14">
        <v>7767</v>
      </c>
      <c r="G1354" s="14">
        <v>54369</v>
      </c>
      <c r="H1354" s="13" t="s">
        <v>47</v>
      </c>
      <c r="I1354" s="13" t="s">
        <v>48</v>
      </c>
    </row>
    <row r="1355" spans="1:9" x14ac:dyDescent="0.3">
      <c r="A1355" s="12">
        <v>45987</v>
      </c>
      <c r="B1355" s="13" t="s">
        <v>9</v>
      </c>
      <c r="C1355" s="13" t="s">
        <v>10</v>
      </c>
      <c r="D1355" s="13" t="s">
        <v>11</v>
      </c>
      <c r="E1355" s="13">
        <v>9</v>
      </c>
      <c r="F1355" s="14">
        <v>12364</v>
      </c>
      <c r="G1355" s="14">
        <v>111276</v>
      </c>
      <c r="H1355" s="13" t="s">
        <v>47</v>
      </c>
      <c r="I1355" s="13" t="s">
        <v>48</v>
      </c>
    </row>
    <row r="1356" spans="1:9" x14ac:dyDescent="0.3">
      <c r="A1356" s="12">
        <v>45988</v>
      </c>
      <c r="B1356" s="13" t="s">
        <v>20</v>
      </c>
      <c r="C1356" s="13" t="s">
        <v>15</v>
      </c>
      <c r="D1356" s="13" t="s">
        <v>18</v>
      </c>
      <c r="E1356" s="13">
        <v>7</v>
      </c>
      <c r="F1356" s="14">
        <v>21452</v>
      </c>
      <c r="G1356" s="14">
        <v>150164</v>
      </c>
      <c r="H1356" s="13" t="s">
        <v>47</v>
      </c>
      <c r="I1356" s="13" t="s">
        <v>48</v>
      </c>
    </row>
    <row r="1357" spans="1:9" x14ac:dyDescent="0.3">
      <c r="A1357" s="12">
        <v>45988</v>
      </c>
      <c r="B1357" s="13" t="s">
        <v>23</v>
      </c>
      <c r="C1357" s="13" t="s">
        <v>10</v>
      </c>
      <c r="D1357" s="13" t="s">
        <v>27</v>
      </c>
      <c r="E1357" s="13">
        <v>1</v>
      </c>
      <c r="F1357" s="14">
        <v>12153</v>
      </c>
      <c r="G1357" s="14">
        <v>12153</v>
      </c>
      <c r="H1357" s="13" t="s">
        <v>47</v>
      </c>
      <c r="I1357" s="13" t="s">
        <v>48</v>
      </c>
    </row>
    <row r="1358" spans="1:9" x14ac:dyDescent="0.3">
      <c r="A1358" s="12">
        <v>45988</v>
      </c>
      <c r="B1358" s="13" t="s">
        <v>17</v>
      </c>
      <c r="C1358" s="13" t="s">
        <v>22</v>
      </c>
      <c r="D1358" s="13" t="s">
        <v>24</v>
      </c>
      <c r="E1358" s="13">
        <v>4</v>
      </c>
      <c r="F1358" s="14">
        <v>8128</v>
      </c>
      <c r="G1358" s="14">
        <v>32512</v>
      </c>
      <c r="H1358" s="13" t="s">
        <v>47</v>
      </c>
      <c r="I1358" s="13" t="s">
        <v>48</v>
      </c>
    </row>
    <row r="1359" spans="1:9" x14ac:dyDescent="0.3">
      <c r="A1359" s="12">
        <v>45988</v>
      </c>
      <c r="B1359" s="13" t="s">
        <v>23</v>
      </c>
      <c r="C1359" s="13" t="s">
        <v>19</v>
      </c>
      <c r="D1359" s="13" t="s">
        <v>18</v>
      </c>
      <c r="E1359" s="13">
        <v>10</v>
      </c>
      <c r="F1359" s="14">
        <v>18407</v>
      </c>
      <c r="G1359" s="14">
        <v>184070</v>
      </c>
      <c r="H1359" s="13" t="s">
        <v>47</v>
      </c>
      <c r="I1359" s="13" t="s">
        <v>48</v>
      </c>
    </row>
    <row r="1360" spans="1:9" x14ac:dyDescent="0.3">
      <c r="A1360" s="12">
        <v>45988</v>
      </c>
      <c r="B1360" s="13" t="s">
        <v>9</v>
      </c>
      <c r="C1360" s="13" t="s">
        <v>22</v>
      </c>
      <c r="D1360" s="13" t="s">
        <v>16</v>
      </c>
      <c r="E1360" s="13">
        <v>6</v>
      </c>
      <c r="F1360" s="14">
        <v>7969</v>
      </c>
      <c r="G1360" s="14">
        <v>47814</v>
      </c>
      <c r="H1360" s="13" t="s">
        <v>47</v>
      </c>
      <c r="I1360" s="13" t="s">
        <v>48</v>
      </c>
    </row>
    <row r="1361" spans="1:9" x14ac:dyDescent="0.3">
      <c r="A1361" s="12">
        <v>45989</v>
      </c>
      <c r="B1361" s="13" t="s">
        <v>17</v>
      </c>
      <c r="C1361" s="13" t="s">
        <v>10</v>
      </c>
      <c r="D1361" s="13" t="s">
        <v>11</v>
      </c>
      <c r="E1361" s="13">
        <v>7</v>
      </c>
      <c r="F1361" s="14">
        <v>11892</v>
      </c>
      <c r="G1361" s="14">
        <v>83244</v>
      </c>
      <c r="H1361" s="13" t="s">
        <v>47</v>
      </c>
      <c r="I1361" s="13" t="s">
        <v>48</v>
      </c>
    </row>
    <row r="1362" spans="1:9" x14ac:dyDescent="0.3">
      <c r="A1362" s="12">
        <v>45989</v>
      </c>
      <c r="B1362" s="13" t="s">
        <v>9</v>
      </c>
      <c r="C1362" s="13" t="s">
        <v>10</v>
      </c>
      <c r="D1362" s="13" t="s">
        <v>16</v>
      </c>
      <c r="E1362" s="13">
        <v>7</v>
      </c>
      <c r="F1362" s="14">
        <v>11720</v>
      </c>
      <c r="G1362" s="14">
        <v>82040</v>
      </c>
      <c r="H1362" s="13" t="s">
        <v>47</v>
      </c>
      <c r="I1362" s="13" t="s">
        <v>48</v>
      </c>
    </row>
    <row r="1363" spans="1:9" x14ac:dyDescent="0.3">
      <c r="A1363" s="12">
        <v>45989</v>
      </c>
      <c r="B1363" s="13" t="s">
        <v>20</v>
      </c>
      <c r="C1363" s="13" t="s">
        <v>10</v>
      </c>
      <c r="D1363" s="13" t="s">
        <v>27</v>
      </c>
      <c r="E1363" s="13">
        <v>5</v>
      </c>
      <c r="F1363" s="14">
        <v>12224</v>
      </c>
      <c r="G1363" s="14">
        <v>61120</v>
      </c>
      <c r="H1363" s="13" t="s">
        <v>47</v>
      </c>
      <c r="I1363" s="13" t="s">
        <v>48</v>
      </c>
    </row>
    <row r="1364" spans="1:9" x14ac:dyDescent="0.3">
      <c r="A1364" s="12">
        <v>45990</v>
      </c>
      <c r="B1364" s="13" t="s">
        <v>23</v>
      </c>
      <c r="C1364" s="13" t="s">
        <v>15</v>
      </c>
      <c r="D1364" s="13" t="s">
        <v>14</v>
      </c>
      <c r="E1364" s="13">
        <v>3</v>
      </c>
      <c r="F1364" s="14">
        <v>21322</v>
      </c>
      <c r="G1364" s="14">
        <v>63966</v>
      </c>
      <c r="H1364" s="13" t="s">
        <v>47</v>
      </c>
      <c r="I1364" s="13" t="s">
        <v>48</v>
      </c>
    </row>
    <row r="1365" spans="1:9" x14ac:dyDescent="0.3">
      <c r="A1365" s="12">
        <v>45990</v>
      </c>
      <c r="B1365" s="13" t="s">
        <v>17</v>
      </c>
      <c r="C1365" s="13" t="s">
        <v>19</v>
      </c>
      <c r="D1365" s="13" t="s">
        <v>24</v>
      </c>
      <c r="E1365" s="13">
        <v>8</v>
      </c>
      <c r="F1365" s="14">
        <v>18107</v>
      </c>
      <c r="G1365" s="14">
        <v>144856</v>
      </c>
      <c r="H1365" s="13" t="s">
        <v>47</v>
      </c>
      <c r="I1365" s="13" t="s">
        <v>48</v>
      </c>
    </row>
    <row r="1366" spans="1:9" x14ac:dyDescent="0.3">
      <c r="A1366" s="12">
        <v>45990</v>
      </c>
      <c r="B1366" s="13" t="s">
        <v>23</v>
      </c>
      <c r="C1366" s="13" t="s">
        <v>21</v>
      </c>
      <c r="D1366" s="13" t="s">
        <v>28</v>
      </c>
      <c r="E1366" s="13">
        <v>4</v>
      </c>
      <c r="F1366" s="14">
        <v>3380</v>
      </c>
      <c r="G1366" s="14">
        <v>13520</v>
      </c>
      <c r="H1366" s="13" t="s">
        <v>47</v>
      </c>
      <c r="I1366" s="13" t="s">
        <v>48</v>
      </c>
    </row>
    <row r="1367" spans="1:9" x14ac:dyDescent="0.3">
      <c r="A1367" s="12">
        <v>45991</v>
      </c>
      <c r="B1367" s="13" t="s">
        <v>9</v>
      </c>
      <c r="C1367" s="13" t="s">
        <v>19</v>
      </c>
      <c r="D1367" s="13" t="s">
        <v>11</v>
      </c>
      <c r="E1367" s="13">
        <v>9</v>
      </c>
      <c r="F1367" s="14">
        <v>17416</v>
      </c>
      <c r="G1367" s="14">
        <v>156744</v>
      </c>
      <c r="H1367" s="13" t="s">
        <v>47</v>
      </c>
      <c r="I1367" s="13" t="s">
        <v>48</v>
      </c>
    </row>
    <row r="1368" spans="1:9" x14ac:dyDescent="0.3">
      <c r="A1368" s="12">
        <v>45991</v>
      </c>
      <c r="B1368" s="13" t="s">
        <v>9</v>
      </c>
      <c r="C1368" s="13" t="s">
        <v>10</v>
      </c>
      <c r="D1368" s="13" t="s">
        <v>24</v>
      </c>
      <c r="E1368" s="13">
        <v>1</v>
      </c>
      <c r="F1368" s="14">
        <v>11466</v>
      </c>
      <c r="G1368" s="14">
        <v>11466</v>
      </c>
      <c r="H1368" s="13" t="s">
        <v>47</v>
      </c>
      <c r="I1368" s="13" t="s">
        <v>48</v>
      </c>
    </row>
    <row r="1369" spans="1:9" x14ac:dyDescent="0.3">
      <c r="A1369" s="12">
        <v>45991</v>
      </c>
      <c r="B1369" s="13" t="s">
        <v>9</v>
      </c>
      <c r="C1369" s="13" t="s">
        <v>19</v>
      </c>
      <c r="D1369" s="13" t="s">
        <v>11</v>
      </c>
      <c r="E1369" s="13">
        <v>2</v>
      </c>
      <c r="F1369" s="14">
        <v>18721</v>
      </c>
      <c r="G1369" s="14">
        <v>37442</v>
      </c>
      <c r="H1369" s="13" t="s">
        <v>47</v>
      </c>
      <c r="I1369" s="13" t="s">
        <v>48</v>
      </c>
    </row>
    <row r="1370" spans="1:9" x14ac:dyDescent="0.3">
      <c r="A1370" s="12">
        <v>45992</v>
      </c>
      <c r="B1370" s="13" t="s">
        <v>20</v>
      </c>
      <c r="C1370" s="13" t="s">
        <v>10</v>
      </c>
      <c r="D1370" s="13" t="s">
        <v>14</v>
      </c>
      <c r="E1370" s="13">
        <v>7</v>
      </c>
      <c r="F1370" s="14">
        <v>12531</v>
      </c>
      <c r="G1370" s="14">
        <v>87717</v>
      </c>
      <c r="H1370" s="13" t="s">
        <v>49</v>
      </c>
      <c r="I1370" s="13" t="s">
        <v>50</v>
      </c>
    </row>
    <row r="1371" spans="1:9" x14ac:dyDescent="0.3">
      <c r="A1371" s="12">
        <v>45992</v>
      </c>
      <c r="B1371" s="13" t="s">
        <v>17</v>
      </c>
      <c r="C1371" s="13" t="s">
        <v>15</v>
      </c>
      <c r="D1371" s="13" t="s">
        <v>14</v>
      </c>
      <c r="E1371" s="13">
        <v>10</v>
      </c>
      <c r="F1371" s="14">
        <v>22515</v>
      </c>
      <c r="G1371" s="14">
        <v>225150</v>
      </c>
      <c r="H1371" s="13" t="s">
        <v>49</v>
      </c>
      <c r="I1371" s="13" t="s">
        <v>50</v>
      </c>
    </row>
    <row r="1372" spans="1:9" x14ac:dyDescent="0.3">
      <c r="A1372" s="12">
        <v>45992</v>
      </c>
      <c r="B1372" s="13" t="s">
        <v>9</v>
      </c>
      <c r="C1372" s="13" t="s">
        <v>22</v>
      </c>
      <c r="D1372" s="13" t="s">
        <v>11</v>
      </c>
      <c r="E1372" s="13">
        <v>8</v>
      </c>
      <c r="F1372" s="14">
        <v>8307</v>
      </c>
      <c r="G1372" s="14">
        <v>66456</v>
      </c>
      <c r="H1372" s="13" t="s">
        <v>49</v>
      </c>
      <c r="I1372" s="13" t="s">
        <v>50</v>
      </c>
    </row>
    <row r="1373" spans="1:9" x14ac:dyDescent="0.3">
      <c r="A1373" s="12">
        <v>45992</v>
      </c>
      <c r="B1373" s="13" t="s">
        <v>17</v>
      </c>
      <c r="C1373" s="13" t="s">
        <v>22</v>
      </c>
      <c r="D1373" s="13" t="s">
        <v>14</v>
      </c>
      <c r="E1373" s="13">
        <v>6</v>
      </c>
      <c r="F1373" s="14">
        <v>7863</v>
      </c>
      <c r="G1373" s="14">
        <v>47178</v>
      </c>
      <c r="H1373" s="13" t="s">
        <v>49</v>
      </c>
      <c r="I1373" s="13" t="s">
        <v>50</v>
      </c>
    </row>
    <row r="1374" spans="1:9" x14ac:dyDescent="0.3">
      <c r="A1374" s="12">
        <v>45992</v>
      </c>
      <c r="B1374" s="13" t="s">
        <v>23</v>
      </c>
      <c r="C1374" s="13" t="s">
        <v>10</v>
      </c>
      <c r="D1374" s="13" t="s">
        <v>16</v>
      </c>
      <c r="E1374" s="13">
        <v>7</v>
      </c>
      <c r="F1374" s="14">
        <v>11661</v>
      </c>
      <c r="G1374" s="14">
        <v>81627</v>
      </c>
      <c r="H1374" s="13" t="s">
        <v>49</v>
      </c>
      <c r="I1374" s="13" t="s">
        <v>50</v>
      </c>
    </row>
    <row r="1375" spans="1:9" x14ac:dyDescent="0.3">
      <c r="A1375" s="12">
        <v>45993</v>
      </c>
      <c r="B1375" s="13" t="s">
        <v>17</v>
      </c>
      <c r="C1375" s="13" t="s">
        <v>15</v>
      </c>
      <c r="D1375" s="13" t="s">
        <v>11</v>
      </c>
      <c r="E1375" s="13">
        <v>8</v>
      </c>
      <c r="F1375" s="14">
        <v>21798</v>
      </c>
      <c r="G1375" s="14">
        <v>174384</v>
      </c>
      <c r="H1375" s="13" t="s">
        <v>49</v>
      </c>
      <c r="I1375" s="13" t="s">
        <v>50</v>
      </c>
    </row>
    <row r="1376" spans="1:9" x14ac:dyDescent="0.3">
      <c r="A1376" s="12">
        <v>45993</v>
      </c>
      <c r="B1376" s="13" t="s">
        <v>9</v>
      </c>
      <c r="C1376" s="13" t="s">
        <v>21</v>
      </c>
      <c r="D1376" s="13" t="s">
        <v>26</v>
      </c>
      <c r="E1376" s="13">
        <v>2</v>
      </c>
      <c r="F1376" s="14">
        <v>3435</v>
      </c>
      <c r="G1376" s="14">
        <v>6870</v>
      </c>
      <c r="H1376" s="13" t="s">
        <v>49</v>
      </c>
      <c r="I1376" s="13" t="s">
        <v>50</v>
      </c>
    </row>
    <row r="1377" spans="1:9" x14ac:dyDescent="0.3">
      <c r="A1377" s="12">
        <v>45994</v>
      </c>
      <c r="B1377" s="13" t="s">
        <v>23</v>
      </c>
      <c r="C1377" s="13" t="s">
        <v>10</v>
      </c>
      <c r="D1377" s="13" t="s">
        <v>16</v>
      </c>
      <c r="E1377" s="13">
        <v>5</v>
      </c>
      <c r="F1377" s="14">
        <v>12455</v>
      </c>
      <c r="G1377" s="14">
        <v>62275</v>
      </c>
      <c r="H1377" s="13" t="s">
        <v>49</v>
      </c>
      <c r="I1377" s="13" t="s">
        <v>50</v>
      </c>
    </row>
    <row r="1378" spans="1:9" x14ac:dyDescent="0.3">
      <c r="A1378" s="12">
        <v>45994</v>
      </c>
      <c r="B1378" s="13" t="s">
        <v>17</v>
      </c>
      <c r="C1378" s="13" t="s">
        <v>19</v>
      </c>
      <c r="D1378" s="13" t="s">
        <v>24</v>
      </c>
      <c r="E1378" s="13">
        <v>6</v>
      </c>
      <c r="F1378" s="14">
        <v>18578</v>
      </c>
      <c r="G1378" s="14">
        <v>111468</v>
      </c>
      <c r="H1378" s="13" t="s">
        <v>49</v>
      </c>
      <c r="I1378" s="13" t="s">
        <v>50</v>
      </c>
    </row>
    <row r="1379" spans="1:9" x14ac:dyDescent="0.3">
      <c r="A1379" s="12">
        <v>45994</v>
      </c>
      <c r="B1379" s="13" t="s">
        <v>9</v>
      </c>
      <c r="C1379" s="13" t="s">
        <v>10</v>
      </c>
      <c r="D1379" s="13" t="s">
        <v>28</v>
      </c>
      <c r="E1379" s="13">
        <v>1</v>
      </c>
      <c r="F1379" s="14">
        <v>12228</v>
      </c>
      <c r="G1379" s="14">
        <v>12228</v>
      </c>
      <c r="H1379" s="13" t="s">
        <v>49</v>
      </c>
      <c r="I1379" s="13" t="s">
        <v>50</v>
      </c>
    </row>
    <row r="1380" spans="1:9" x14ac:dyDescent="0.3">
      <c r="A1380" s="12">
        <v>45994</v>
      </c>
      <c r="B1380" s="13" t="s">
        <v>17</v>
      </c>
      <c r="C1380" s="13" t="s">
        <v>19</v>
      </c>
      <c r="D1380" s="13" t="s">
        <v>18</v>
      </c>
      <c r="E1380" s="13">
        <v>5</v>
      </c>
      <c r="F1380" s="14">
        <v>18250</v>
      </c>
      <c r="G1380" s="14">
        <v>91250</v>
      </c>
      <c r="H1380" s="13" t="s">
        <v>49</v>
      </c>
      <c r="I1380" s="13" t="s">
        <v>50</v>
      </c>
    </row>
    <row r="1381" spans="1:9" x14ac:dyDescent="0.3">
      <c r="A1381" s="12">
        <v>45994</v>
      </c>
      <c r="B1381" s="13" t="s">
        <v>20</v>
      </c>
      <c r="C1381" s="13" t="s">
        <v>10</v>
      </c>
      <c r="D1381" s="13" t="s">
        <v>14</v>
      </c>
      <c r="E1381" s="13">
        <v>9</v>
      </c>
      <c r="F1381" s="14">
        <v>12440</v>
      </c>
      <c r="G1381" s="14">
        <v>111960</v>
      </c>
      <c r="H1381" s="13" t="s">
        <v>49</v>
      </c>
      <c r="I1381" s="13" t="s">
        <v>50</v>
      </c>
    </row>
    <row r="1382" spans="1:9" x14ac:dyDescent="0.3">
      <c r="A1382" s="12">
        <v>45995</v>
      </c>
      <c r="B1382" s="13" t="s">
        <v>23</v>
      </c>
      <c r="C1382" s="13" t="s">
        <v>25</v>
      </c>
      <c r="D1382" s="13" t="s">
        <v>18</v>
      </c>
      <c r="E1382" s="13">
        <v>5</v>
      </c>
      <c r="F1382" s="14">
        <v>53904</v>
      </c>
      <c r="G1382" s="14">
        <v>269520</v>
      </c>
      <c r="H1382" s="13" t="s">
        <v>49</v>
      </c>
      <c r="I1382" s="13" t="s">
        <v>50</v>
      </c>
    </row>
    <row r="1383" spans="1:9" x14ac:dyDescent="0.3">
      <c r="A1383" s="12">
        <v>45995</v>
      </c>
      <c r="B1383" s="13" t="s">
        <v>17</v>
      </c>
      <c r="C1383" s="13" t="s">
        <v>19</v>
      </c>
      <c r="D1383" s="13" t="s">
        <v>16</v>
      </c>
      <c r="E1383" s="13">
        <v>3</v>
      </c>
      <c r="F1383" s="14">
        <v>18748</v>
      </c>
      <c r="G1383" s="14">
        <v>56244</v>
      </c>
      <c r="H1383" s="13" t="s">
        <v>49</v>
      </c>
      <c r="I1383" s="13" t="s">
        <v>50</v>
      </c>
    </row>
    <row r="1384" spans="1:9" x14ac:dyDescent="0.3">
      <c r="A1384" s="12">
        <v>45995</v>
      </c>
      <c r="B1384" s="13" t="s">
        <v>20</v>
      </c>
      <c r="C1384" s="13" t="s">
        <v>10</v>
      </c>
      <c r="D1384" s="13" t="s">
        <v>18</v>
      </c>
      <c r="E1384" s="13">
        <v>1</v>
      </c>
      <c r="F1384" s="14">
        <v>11728</v>
      </c>
      <c r="G1384" s="14">
        <v>11728</v>
      </c>
      <c r="H1384" s="13" t="s">
        <v>49</v>
      </c>
      <c r="I1384" s="13" t="s">
        <v>50</v>
      </c>
    </row>
    <row r="1385" spans="1:9" x14ac:dyDescent="0.3">
      <c r="A1385" s="12">
        <v>45995</v>
      </c>
      <c r="B1385" s="13" t="s">
        <v>9</v>
      </c>
      <c r="C1385" s="13" t="s">
        <v>21</v>
      </c>
      <c r="D1385" s="13" t="s">
        <v>24</v>
      </c>
      <c r="E1385" s="13">
        <v>7</v>
      </c>
      <c r="F1385" s="14">
        <v>3649</v>
      </c>
      <c r="G1385" s="14">
        <v>25543</v>
      </c>
      <c r="H1385" s="13" t="s">
        <v>49</v>
      </c>
      <c r="I1385" s="13" t="s">
        <v>50</v>
      </c>
    </row>
    <row r="1386" spans="1:9" x14ac:dyDescent="0.3">
      <c r="A1386" s="12">
        <v>45995</v>
      </c>
      <c r="B1386" s="13" t="s">
        <v>20</v>
      </c>
      <c r="C1386" s="13" t="s">
        <v>10</v>
      </c>
      <c r="D1386" s="13" t="s">
        <v>18</v>
      </c>
      <c r="E1386" s="13">
        <v>2</v>
      </c>
      <c r="F1386" s="14">
        <v>12389</v>
      </c>
      <c r="G1386" s="14">
        <v>24778</v>
      </c>
      <c r="H1386" s="13" t="s">
        <v>49</v>
      </c>
      <c r="I1386" s="13" t="s">
        <v>50</v>
      </c>
    </row>
    <row r="1387" spans="1:9" x14ac:dyDescent="0.3">
      <c r="A1387" s="12">
        <v>45996</v>
      </c>
      <c r="B1387" s="13" t="s">
        <v>9</v>
      </c>
      <c r="C1387" s="13" t="s">
        <v>19</v>
      </c>
      <c r="D1387" s="13" t="s">
        <v>18</v>
      </c>
      <c r="E1387" s="13">
        <v>10</v>
      </c>
      <c r="F1387" s="14">
        <v>18412</v>
      </c>
      <c r="G1387" s="14">
        <v>184120</v>
      </c>
      <c r="H1387" s="13" t="s">
        <v>49</v>
      </c>
      <c r="I1387" s="13" t="s">
        <v>50</v>
      </c>
    </row>
    <row r="1388" spans="1:9" x14ac:dyDescent="0.3">
      <c r="A1388" s="12">
        <v>45996</v>
      </c>
      <c r="B1388" s="13" t="s">
        <v>20</v>
      </c>
      <c r="C1388" s="13" t="s">
        <v>21</v>
      </c>
      <c r="D1388" s="13" t="s">
        <v>28</v>
      </c>
      <c r="E1388" s="13">
        <v>1</v>
      </c>
      <c r="F1388" s="14">
        <v>3549</v>
      </c>
      <c r="G1388" s="14">
        <v>3549</v>
      </c>
      <c r="H1388" s="13" t="s">
        <v>49</v>
      </c>
      <c r="I1388" s="13" t="s">
        <v>50</v>
      </c>
    </row>
    <row r="1389" spans="1:9" x14ac:dyDescent="0.3">
      <c r="A1389" s="12">
        <v>45996</v>
      </c>
      <c r="B1389" s="13" t="s">
        <v>17</v>
      </c>
      <c r="C1389" s="13" t="s">
        <v>10</v>
      </c>
      <c r="D1389" s="13" t="s">
        <v>24</v>
      </c>
      <c r="E1389" s="13">
        <v>3</v>
      </c>
      <c r="F1389" s="14">
        <v>11403</v>
      </c>
      <c r="G1389" s="14">
        <v>34209</v>
      </c>
      <c r="H1389" s="13" t="s">
        <v>49</v>
      </c>
      <c r="I1389" s="13" t="s">
        <v>50</v>
      </c>
    </row>
    <row r="1390" spans="1:9" x14ac:dyDescent="0.3">
      <c r="A1390" s="12">
        <v>45996</v>
      </c>
      <c r="B1390" s="13" t="s">
        <v>17</v>
      </c>
      <c r="C1390" s="13" t="s">
        <v>10</v>
      </c>
      <c r="D1390" s="13" t="s">
        <v>11</v>
      </c>
      <c r="E1390" s="13">
        <v>6</v>
      </c>
      <c r="F1390" s="14">
        <v>12090</v>
      </c>
      <c r="G1390" s="14">
        <v>72540</v>
      </c>
      <c r="H1390" s="13" t="s">
        <v>49</v>
      </c>
      <c r="I1390" s="13" t="s">
        <v>50</v>
      </c>
    </row>
    <row r="1391" spans="1:9" x14ac:dyDescent="0.3">
      <c r="A1391" s="12">
        <v>45997</v>
      </c>
      <c r="B1391" s="13" t="s">
        <v>17</v>
      </c>
      <c r="C1391" s="13" t="s">
        <v>15</v>
      </c>
      <c r="D1391" s="13" t="s">
        <v>27</v>
      </c>
      <c r="E1391" s="13">
        <v>10</v>
      </c>
      <c r="F1391" s="14">
        <v>22408</v>
      </c>
      <c r="G1391" s="14">
        <v>224080</v>
      </c>
      <c r="H1391" s="13" t="s">
        <v>49</v>
      </c>
      <c r="I1391" s="13" t="s">
        <v>50</v>
      </c>
    </row>
    <row r="1392" spans="1:9" x14ac:dyDescent="0.3">
      <c r="A1392" s="12">
        <v>45997</v>
      </c>
      <c r="B1392" s="13" t="s">
        <v>20</v>
      </c>
      <c r="C1392" s="13" t="s">
        <v>21</v>
      </c>
      <c r="D1392" s="13" t="s">
        <v>24</v>
      </c>
      <c r="E1392" s="13">
        <v>3</v>
      </c>
      <c r="F1392" s="14">
        <v>3416</v>
      </c>
      <c r="G1392" s="14">
        <v>10248</v>
      </c>
      <c r="H1392" s="13" t="s">
        <v>49</v>
      </c>
      <c r="I1392" s="13" t="s">
        <v>50</v>
      </c>
    </row>
    <row r="1393" spans="1:9" x14ac:dyDescent="0.3">
      <c r="A1393" s="12">
        <v>45998</v>
      </c>
      <c r="B1393" s="13" t="s">
        <v>20</v>
      </c>
      <c r="C1393" s="13" t="s">
        <v>19</v>
      </c>
      <c r="D1393" s="13" t="s">
        <v>16</v>
      </c>
      <c r="E1393" s="13">
        <v>2</v>
      </c>
      <c r="F1393" s="14">
        <v>17846</v>
      </c>
      <c r="G1393" s="14">
        <v>35692</v>
      </c>
      <c r="H1393" s="13" t="s">
        <v>49</v>
      </c>
      <c r="I1393" s="13" t="s">
        <v>50</v>
      </c>
    </row>
    <row r="1394" spans="1:9" x14ac:dyDescent="0.3">
      <c r="A1394" s="12">
        <v>45998</v>
      </c>
      <c r="B1394" s="13" t="s">
        <v>17</v>
      </c>
      <c r="C1394" s="13" t="s">
        <v>21</v>
      </c>
      <c r="D1394" s="13" t="s">
        <v>18</v>
      </c>
      <c r="E1394" s="13">
        <v>10</v>
      </c>
      <c r="F1394" s="14">
        <v>3403</v>
      </c>
      <c r="G1394" s="14">
        <v>34030</v>
      </c>
      <c r="H1394" s="13" t="s">
        <v>49</v>
      </c>
      <c r="I1394" s="13" t="s">
        <v>50</v>
      </c>
    </row>
    <row r="1395" spans="1:9" x14ac:dyDescent="0.3">
      <c r="A1395" s="12">
        <v>45998</v>
      </c>
      <c r="B1395" s="13" t="s">
        <v>9</v>
      </c>
      <c r="C1395" s="13" t="s">
        <v>22</v>
      </c>
      <c r="D1395" s="13" t="s">
        <v>16</v>
      </c>
      <c r="E1395" s="13">
        <v>2</v>
      </c>
      <c r="F1395" s="14">
        <v>8379</v>
      </c>
      <c r="G1395" s="14">
        <v>16758</v>
      </c>
      <c r="H1395" s="13" t="s">
        <v>49</v>
      </c>
      <c r="I1395" s="13" t="s">
        <v>50</v>
      </c>
    </row>
    <row r="1396" spans="1:9" x14ac:dyDescent="0.3">
      <c r="A1396" s="12">
        <v>45998</v>
      </c>
      <c r="B1396" s="13" t="s">
        <v>17</v>
      </c>
      <c r="C1396" s="13" t="s">
        <v>19</v>
      </c>
      <c r="D1396" s="13" t="s">
        <v>27</v>
      </c>
      <c r="E1396" s="13">
        <v>1</v>
      </c>
      <c r="F1396" s="14">
        <v>17821</v>
      </c>
      <c r="G1396" s="14">
        <v>17821</v>
      </c>
      <c r="H1396" s="13" t="s">
        <v>49</v>
      </c>
      <c r="I1396" s="13" t="s">
        <v>50</v>
      </c>
    </row>
    <row r="1397" spans="1:9" x14ac:dyDescent="0.3">
      <c r="A1397" s="12">
        <v>45998</v>
      </c>
      <c r="B1397" s="13" t="s">
        <v>23</v>
      </c>
      <c r="C1397" s="13" t="s">
        <v>22</v>
      </c>
      <c r="D1397" s="13" t="s">
        <v>11</v>
      </c>
      <c r="E1397" s="13">
        <v>3</v>
      </c>
      <c r="F1397" s="14">
        <v>7671</v>
      </c>
      <c r="G1397" s="14">
        <v>23013</v>
      </c>
      <c r="H1397" s="13" t="s">
        <v>49</v>
      </c>
      <c r="I1397" s="13" t="s">
        <v>50</v>
      </c>
    </row>
    <row r="1398" spans="1:9" x14ac:dyDescent="0.3">
      <c r="A1398" s="12">
        <v>45998</v>
      </c>
      <c r="B1398" s="13" t="s">
        <v>20</v>
      </c>
      <c r="C1398" s="13" t="s">
        <v>15</v>
      </c>
      <c r="D1398" s="13" t="s">
        <v>14</v>
      </c>
      <c r="E1398" s="13">
        <v>1</v>
      </c>
      <c r="F1398" s="14">
        <v>22480</v>
      </c>
      <c r="G1398" s="14">
        <v>22480</v>
      </c>
      <c r="H1398" s="13" t="s">
        <v>49</v>
      </c>
      <c r="I1398" s="13" t="s">
        <v>50</v>
      </c>
    </row>
    <row r="1399" spans="1:9" x14ac:dyDescent="0.3">
      <c r="A1399" s="12">
        <v>45999</v>
      </c>
      <c r="B1399" s="13" t="s">
        <v>23</v>
      </c>
      <c r="C1399" s="13" t="s">
        <v>10</v>
      </c>
      <c r="D1399" s="13" t="s">
        <v>24</v>
      </c>
      <c r="E1399" s="13">
        <v>2</v>
      </c>
      <c r="F1399" s="14">
        <v>11669</v>
      </c>
      <c r="G1399" s="14">
        <v>23338</v>
      </c>
      <c r="H1399" s="13" t="s">
        <v>49</v>
      </c>
      <c r="I1399" s="13" t="s">
        <v>50</v>
      </c>
    </row>
    <row r="1400" spans="1:9" x14ac:dyDescent="0.3">
      <c r="A1400" s="12">
        <v>45999</v>
      </c>
      <c r="B1400" s="13" t="s">
        <v>17</v>
      </c>
      <c r="C1400" s="13" t="s">
        <v>15</v>
      </c>
      <c r="D1400" s="13" t="s">
        <v>11</v>
      </c>
      <c r="E1400" s="13">
        <v>5</v>
      </c>
      <c r="F1400" s="14">
        <v>22542</v>
      </c>
      <c r="G1400" s="14">
        <v>112710</v>
      </c>
      <c r="H1400" s="13" t="s">
        <v>49</v>
      </c>
      <c r="I1400" s="13" t="s">
        <v>50</v>
      </c>
    </row>
    <row r="1401" spans="1:9" x14ac:dyDescent="0.3">
      <c r="A1401" s="12">
        <v>45999</v>
      </c>
      <c r="B1401" s="13" t="s">
        <v>23</v>
      </c>
      <c r="C1401" s="13" t="s">
        <v>15</v>
      </c>
      <c r="D1401" s="13" t="s">
        <v>18</v>
      </c>
      <c r="E1401" s="13">
        <v>4</v>
      </c>
      <c r="F1401" s="14">
        <v>22220</v>
      </c>
      <c r="G1401" s="14">
        <v>88880</v>
      </c>
      <c r="H1401" s="13" t="s">
        <v>49</v>
      </c>
      <c r="I1401" s="13" t="s">
        <v>50</v>
      </c>
    </row>
    <row r="1402" spans="1:9" x14ac:dyDescent="0.3">
      <c r="A1402" s="12">
        <v>45999</v>
      </c>
      <c r="B1402" s="13" t="s">
        <v>20</v>
      </c>
      <c r="C1402" s="13" t="s">
        <v>10</v>
      </c>
      <c r="D1402" s="13" t="s">
        <v>16</v>
      </c>
      <c r="E1402" s="13">
        <v>7</v>
      </c>
      <c r="F1402" s="14">
        <v>11616</v>
      </c>
      <c r="G1402" s="14">
        <v>81312</v>
      </c>
      <c r="H1402" s="13" t="s">
        <v>49</v>
      </c>
      <c r="I1402" s="13" t="s">
        <v>50</v>
      </c>
    </row>
    <row r="1403" spans="1:9" x14ac:dyDescent="0.3">
      <c r="A1403" s="12">
        <v>45999</v>
      </c>
      <c r="B1403" s="13" t="s">
        <v>17</v>
      </c>
      <c r="C1403" s="13" t="s">
        <v>25</v>
      </c>
      <c r="D1403" s="13" t="s">
        <v>11</v>
      </c>
      <c r="E1403" s="13">
        <v>5</v>
      </c>
      <c r="F1403" s="14">
        <v>53545</v>
      </c>
      <c r="G1403" s="14">
        <v>267725</v>
      </c>
      <c r="H1403" s="13" t="s">
        <v>49</v>
      </c>
      <c r="I1403" s="13" t="s">
        <v>50</v>
      </c>
    </row>
    <row r="1404" spans="1:9" x14ac:dyDescent="0.3">
      <c r="A1404" s="12">
        <v>46000</v>
      </c>
      <c r="B1404" s="13" t="s">
        <v>17</v>
      </c>
      <c r="C1404" s="13" t="s">
        <v>19</v>
      </c>
      <c r="D1404" s="13" t="s">
        <v>24</v>
      </c>
      <c r="E1404" s="13">
        <v>2</v>
      </c>
      <c r="F1404" s="14">
        <v>17118</v>
      </c>
      <c r="G1404" s="14">
        <v>34236</v>
      </c>
      <c r="H1404" s="13" t="s">
        <v>49</v>
      </c>
      <c r="I1404" s="13" t="s">
        <v>50</v>
      </c>
    </row>
    <row r="1405" spans="1:9" x14ac:dyDescent="0.3">
      <c r="A1405" s="12">
        <v>46000</v>
      </c>
      <c r="B1405" s="13" t="s">
        <v>17</v>
      </c>
      <c r="C1405" s="13" t="s">
        <v>19</v>
      </c>
      <c r="D1405" s="13" t="s">
        <v>18</v>
      </c>
      <c r="E1405" s="13">
        <v>4</v>
      </c>
      <c r="F1405" s="14">
        <v>18384</v>
      </c>
      <c r="G1405" s="14">
        <v>73536</v>
      </c>
      <c r="H1405" s="13" t="s">
        <v>49</v>
      </c>
      <c r="I1405" s="13" t="s">
        <v>50</v>
      </c>
    </row>
    <row r="1406" spans="1:9" x14ac:dyDescent="0.3">
      <c r="A1406" s="12">
        <v>46000</v>
      </c>
      <c r="B1406" s="13" t="s">
        <v>23</v>
      </c>
      <c r="C1406" s="13" t="s">
        <v>10</v>
      </c>
      <c r="D1406" s="13" t="s">
        <v>11</v>
      </c>
      <c r="E1406" s="13">
        <v>2</v>
      </c>
      <c r="F1406" s="14">
        <v>11514</v>
      </c>
      <c r="G1406" s="14">
        <v>23028</v>
      </c>
      <c r="H1406" s="13" t="s">
        <v>49</v>
      </c>
      <c r="I1406" s="13" t="s">
        <v>50</v>
      </c>
    </row>
    <row r="1407" spans="1:9" x14ac:dyDescent="0.3">
      <c r="A1407" s="12">
        <v>46000</v>
      </c>
      <c r="B1407" s="13" t="s">
        <v>9</v>
      </c>
      <c r="C1407" s="13" t="s">
        <v>25</v>
      </c>
      <c r="D1407" s="13" t="s">
        <v>26</v>
      </c>
      <c r="E1407" s="13">
        <v>4</v>
      </c>
      <c r="F1407" s="14">
        <v>54840</v>
      </c>
      <c r="G1407" s="14">
        <v>219360</v>
      </c>
      <c r="H1407" s="13" t="s">
        <v>49</v>
      </c>
      <c r="I1407" s="13" t="s">
        <v>50</v>
      </c>
    </row>
    <row r="1408" spans="1:9" x14ac:dyDescent="0.3">
      <c r="A1408" s="12">
        <v>46000</v>
      </c>
      <c r="B1408" s="13" t="s">
        <v>20</v>
      </c>
      <c r="C1408" s="13" t="s">
        <v>22</v>
      </c>
      <c r="D1408" s="13" t="s">
        <v>28</v>
      </c>
      <c r="E1408" s="13">
        <v>1</v>
      </c>
      <c r="F1408" s="14">
        <v>7802</v>
      </c>
      <c r="G1408" s="14">
        <v>7802</v>
      </c>
      <c r="H1408" s="13" t="s">
        <v>49</v>
      </c>
      <c r="I1408" s="13" t="s">
        <v>50</v>
      </c>
    </row>
    <row r="1409" spans="1:9" x14ac:dyDescent="0.3">
      <c r="A1409" s="12">
        <v>46001</v>
      </c>
      <c r="B1409" s="13" t="s">
        <v>23</v>
      </c>
      <c r="C1409" s="13" t="s">
        <v>19</v>
      </c>
      <c r="D1409" s="13" t="s">
        <v>18</v>
      </c>
      <c r="E1409" s="13">
        <v>6</v>
      </c>
      <c r="F1409" s="14">
        <v>17338</v>
      </c>
      <c r="G1409" s="14">
        <v>104028</v>
      </c>
      <c r="H1409" s="13" t="s">
        <v>49</v>
      </c>
      <c r="I1409" s="13" t="s">
        <v>50</v>
      </c>
    </row>
    <row r="1410" spans="1:9" x14ac:dyDescent="0.3">
      <c r="A1410" s="12">
        <v>46001</v>
      </c>
      <c r="B1410" s="13" t="s">
        <v>9</v>
      </c>
      <c r="C1410" s="13" t="s">
        <v>22</v>
      </c>
      <c r="D1410" s="13" t="s">
        <v>27</v>
      </c>
      <c r="E1410" s="13">
        <v>5</v>
      </c>
      <c r="F1410" s="14">
        <v>7735</v>
      </c>
      <c r="G1410" s="14">
        <v>38675</v>
      </c>
      <c r="H1410" s="13" t="s">
        <v>49</v>
      </c>
      <c r="I1410" s="13" t="s">
        <v>50</v>
      </c>
    </row>
    <row r="1411" spans="1:9" x14ac:dyDescent="0.3">
      <c r="A1411" s="12">
        <v>46001</v>
      </c>
      <c r="B1411" s="13" t="s">
        <v>23</v>
      </c>
      <c r="C1411" s="13" t="s">
        <v>19</v>
      </c>
      <c r="D1411" s="13" t="s">
        <v>24</v>
      </c>
      <c r="E1411" s="13">
        <v>3</v>
      </c>
      <c r="F1411" s="14">
        <v>17261</v>
      </c>
      <c r="G1411" s="14">
        <v>51783</v>
      </c>
      <c r="H1411" s="13" t="s">
        <v>49</v>
      </c>
      <c r="I1411" s="13" t="s">
        <v>50</v>
      </c>
    </row>
    <row r="1412" spans="1:9" x14ac:dyDescent="0.3">
      <c r="A1412" s="12">
        <v>46001</v>
      </c>
      <c r="B1412" s="13" t="s">
        <v>23</v>
      </c>
      <c r="C1412" s="13" t="s">
        <v>15</v>
      </c>
      <c r="D1412" s="13" t="s">
        <v>11</v>
      </c>
      <c r="E1412" s="13">
        <v>2</v>
      </c>
      <c r="F1412" s="14">
        <v>21589</v>
      </c>
      <c r="G1412" s="14">
        <v>43178</v>
      </c>
      <c r="H1412" s="13" t="s">
        <v>49</v>
      </c>
      <c r="I1412" s="13" t="s">
        <v>50</v>
      </c>
    </row>
    <row r="1413" spans="1:9" x14ac:dyDescent="0.3">
      <c r="A1413" s="12">
        <v>46001</v>
      </c>
      <c r="B1413" s="13" t="s">
        <v>17</v>
      </c>
      <c r="C1413" s="13" t="s">
        <v>21</v>
      </c>
      <c r="D1413" s="13" t="s">
        <v>11</v>
      </c>
      <c r="E1413" s="13">
        <v>6</v>
      </c>
      <c r="F1413" s="14">
        <v>3649</v>
      </c>
      <c r="G1413" s="14">
        <v>21894</v>
      </c>
      <c r="H1413" s="13" t="s">
        <v>49</v>
      </c>
      <c r="I1413" s="13" t="s">
        <v>50</v>
      </c>
    </row>
    <row r="1414" spans="1:9" x14ac:dyDescent="0.3">
      <c r="A1414" s="12">
        <v>46001</v>
      </c>
      <c r="B1414" s="13" t="s">
        <v>20</v>
      </c>
      <c r="C1414" s="13" t="s">
        <v>19</v>
      </c>
      <c r="D1414" s="13" t="s">
        <v>11</v>
      </c>
      <c r="E1414" s="13">
        <v>9</v>
      </c>
      <c r="F1414" s="14">
        <v>17663</v>
      </c>
      <c r="G1414" s="14">
        <v>158967</v>
      </c>
      <c r="H1414" s="13" t="s">
        <v>49</v>
      </c>
      <c r="I1414" s="13" t="s">
        <v>50</v>
      </c>
    </row>
    <row r="1415" spans="1:9" x14ac:dyDescent="0.3">
      <c r="A1415" s="12">
        <v>46002</v>
      </c>
      <c r="B1415" s="13" t="s">
        <v>20</v>
      </c>
      <c r="C1415" s="13" t="s">
        <v>10</v>
      </c>
      <c r="D1415" s="13" t="s">
        <v>24</v>
      </c>
      <c r="E1415" s="13">
        <v>3</v>
      </c>
      <c r="F1415" s="14">
        <v>12066</v>
      </c>
      <c r="G1415" s="14">
        <v>36198</v>
      </c>
      <c r="H1415" s="13" t="s">
        <v>49</v>
      </c>
      <c r="I1415" s="13" t="s">
        <v>50</v>
      </c>
    </row>
    <row r="1416" spans="1:9" x14ac:dyDescent="0.3">
      <c r="A1416" s="12">
        <v>46002</v>
      </c>
      <c r="B1416" s="13" t="s">
        <v>23</v>
      </c>
      <c r="C1416" s="13" t="s">
        <v>25</v>
      </c>
      <c r="D1416" s="13" t="s">
        <v>16</v>
      </c>
      <c r="E1416" s="13">
        <v>3</v>
      </c>
      <c r="F1416" s="14">
        <v>52550</v>
      </c>
      <c r="G1416" s="14">
        <v>157650</v>
      </c>
      <c r="H1416" s="13" t="s">
        <v>49</v>
      </c>
      <c r="I1416" s="13" t="s">
        <v>50</v>
      </c>
    </row>
    <row r="1417" spans="1:9" x14ac:dyDescent="0.3">
      <c r="A1417" s="12">
        <v>46002</v>
      </c>
      <c r="B1417" s="13" t="s">
        <v>17</v>
      </c>
      <c r="C1417" s="13" t="s">
        <v>25</v>
      </c>
      <c r="D1417" s="13" t="s">
        <v>24</v>
      </c>
      <c r="E1417" s="13">
        <v>5</v>
      </c>
      <c r="F1417" s="14">
        <v>53149</v>
      </c>
      <c r="G1417" s="14">
        <v>265745</v>
      </c>
      <c r="H1417" s="13" t="s">
        <v>49</v>
      </c>
      <c r="I1417" s="13" t="s">
        <v>50</v>
      </c>
    </row>
    <row r="1418" spans="1:9" x14ac:dyDescent="0.3">
      <c r="A1418" s="12">
        <v>46003</v>
      </c>
      <c r="B1418" s="13" t="s">
        <v>23</v>
      </c>
      <c r="C1418" s="13" t="s">
        <v>25</v>
      </c>
      <c r="D1418" s="13" t="s">
        <v>24</v>
      </c>
      <c r="E1418" s="13">
        <v>1</v>
      </c>
      <c r="F1418" s="14">
        <v>54678</v>
      </c>
      <c r="G1418" s="14">
        <v>54678</v>
      </c>
      <c r="H1418" s="13" t="s">
        <v>49</v>
      </c>
      <c r="I1418" s="13" t="s">
        <v>50</v>
      </c>
    </row>
    <row r="1419" spans="1:9" x14ac:dyDescent="0.3">
      <c r="A1419" s="12">
        <v>46003</v>
      </c>
      <c r="B1419" s="13" t="s">
        <v>23</v>
      </c>
      <c r="C1419" s="13" t="s">
        <v>21</v>
      </c>
      <c r="D1419" s="13" t="s">
        <v>24</v>
      </c>
      <c r="E1419" s="13">
        <v>2</v>
      </c>
      <c r="F1419" s="14">
        <v>3621</v>
      </c>
      <c r="G1419" s="14">
        <v>7242</v>
      </c>
      <c r="H1419" s="13" t="s">
        <v>49</v>
      </c>
      <c r="I1419" s="13" t="s">
        <v>50</v>
      </c>
    </row>
    <row r="1420" spans="1:9" x14ac:dyDescent="0.3">
      <c r="A1420" s="12">
        <v>46003</v>
      </c>
      <c r="B1420" s="13" t="s">
        <v>17</v>
      </c>
      <c r="C1420" s="13" t="s">
        <v>25</v>
      </c>
      <c r="D1420" s="13" t="s">
        <v>26</v>
      </c>
      <c r="E1420" s="13">
        <v>2</v>
      </c>
      <c r="F1420" s="14">
        <v>53370</v>
      </c>
      <c r="G1420" s="14">
        <v>106740</v>
      </c>
      <c r="H1420" s="13" t="s">
        <v>49</v>
      </c>
      <c r="I1420" s="13" t="s">
        <v>50</v>
      </c>
    </row>
    <row r="1421" spans="1:9" x14ac:dyDescent="0.3">
      <c r="A1421" s="12">
        <v>46003</v>
      </c>
      <c r="B1421" s="13" t="s">
        <v>20</v>
      </c>
      <c r="C1421" s="13" t="s">
        <v>15</v>
      </c>
      <c r="D1421" s="13" t="s">
        <v>27</v>
      </c>
      <c r="E1421" s="13">
        <v>9</v>
      </c>
      <c r="F1421" s="14">
        <v>22709</v>
      </c>
      <c r="G1421" s="14">
        <v>204381</v>
      </c>
      <c r="H1421" s="13" t="s">
        <v>49</v>
      </c>
      <c r="I1421" s="13" t="s">
        <v>50</v>
      </c>
    </row>
    <row r="1422" spans="1:9" x14ac:dyDescent="0.3">
      <c r="A1422" s="12">
        <v>46003</v>
      </c>
      <c r="B1422" s="13" t="s">
        <v>17</v>
      </c>
      <c r="C1422" s="13" t="s">
        <v>22</v>
      </c>
      <c r="D1422" s="13" t="s">
        <v>28</v>
      </c>
      <c r="E1422" s="13">
        <v>9</v>
      </c>
      <c r="F1422" s="14">
        <v>8213</v>
      </c>
      <c r="G1422" s="14">
        <v>73917</v>
      </c>
      <c r="H1422" s="13" t="s">
        <v>49</v>
      </c>
      <c r="I1422" s="13" t="s">
        <v>50</v>
      </c>
    </row>
    <row r="1423" spans="1:9" x14ac:dyDescent="0.3">
      <c r="A1423" s="12">
        <v>46004</v>
      </c>
      <c r="B1423" s="13" t="s">
        <v>23</v>
      </c>
      <c r="C1423" s="13" t="s">
        <v>25</v>
      </c>
      <c r="D1423" s="13" t="s">
        <v>16</v>
      </c>
      <c r="E1423" s="13">
        <v>8</v>
      </c>
      <c r="F1423" s="14">
        <v>55972</v>
      </c>
      <c r="G1423" s="14">
        <v>447776</v>
      </c>
      <c r="H1423" s="13" t="s">
        <v>49</v>
      </c>
      <c r="I1423" s="13" t="s">
        <v>50</v>
      </c>
    </row>
    <row r="1424" spans="1:9" x14ac:dyDescent="0.3">
      <c r="A1424" s="12">
        <v>46004</v>
      </c>
      <c r="B1424" s="13" t="s">
        <v>20</v>
      </c>
      <c r="C1424" s="13" t="s">
        <v>25</v>
      </c>
      <c r="D1424" s="13" t="s">
        <v>11</v>
      </c>
      <c r="E1424" s="13">
        <v>2</v>
      </c>
      <c r="F1424" s="14">
        <v>54417</v>
      </c>
      <c r="G1424" s="14">
        <v>108834</v>
      </c>
      <c r="H1424" s="13" t="s">
        <v>49</v>
      </c>
      <c r="I1424" s="13" t="s">
        <v>50</v>
      </c>
    </row>
    <row r="1425" spans="1:9" x14ac:dyDescent="0.3">
      <c r="A1425" s="12">
        <v>46004</v>
      </c>
      <c r="B1425" s="13" t="s">
        <v>9</v>
      </c>
      <c r="C1425" s="13" t="s">
        <v>19</v>
      </c>
      <c r="D1425" s="13" t="s">
        <v>27</v>
      </c>
      <c r="E1425" s="13">
        <v>1</v>
      </c>
      <c r="F1425" s="14">
        <v>17245</v>
      </c>
      <c r="G1425" s="14">
        <v>17245</v>
      </c>
      <c r="H1425" s="13" t="s">
        <v>49</v>
      </c>
      <c r="I1425" s="13" t="s">
        <v>50</v>
      </c>
    </row>
    <row r="1426" spans="1:9" x14ac:dyDescent="0.3">
      <c r="A1426" s="12">
        <v>46005</v>
      </c>
      <c r="B1426" s="13" t="s">
        <v>23</v>
      </c>
      <c r="C1426" s="13" t="s">
        <v>10</v>
      </c>
      <c r="D1426" s="13" t="s">
        <v>11</v>
      </c>
      <c r="E1426" s="13">
        <v>10</v>
      </c>
      <c r="F1426" s="14">
        <v>12189</v>
      </c>
      <c r="G1426" s="14">
        <v>121890</v>
      </c>
      <c r="H1426" s="13" t="s">
        <v>49</v>
      </c>
      <c r="I1426" s="13" t="s">
        <v>50</v>
      </c>
    </row>
    <row r="1427" spans="1:9" x14ac:dyDescent="0.3">
      <c r="A1427" s="12">
        <v>46005</v>
      </c>
      <c r="B1427" s="13" t="s">
        <v>20</v>
      </c>
      <c r="C1427" s="13" t="s">
        <v>25</v>
      </c>
      <c r="D1427" s="13" t="s">
        <v>24</v>
      </c>
      <c r="E1427" s="13">
        <v>6</v>
      </c>
      <c r="F1427" s="14">
        <v>57460</v>
      </c>
      <c r="G1427" s="14">
        <v>344760</v>
      </c>
      <c r="H1427" s="13" t="s">
        <v>49</v>
      </c>
      <c r="I1427" s="13" t="s">
        <v>50</v>
      </c>
    </row>
    <row r="1428" spans="1:9" x14ac:dyDescent="0.3">
      <c r="A1428" s="12">
        <v>46005</v>
      </c>
      <c r="B1428" s="13" t="s">
        <v>17</v>
      </c>
      <c r="C1428" s="13" t="s">
        <v>15</v>
      </c>
      <c r="D1428" s="13" t="s">
        <v>28</v>
      </c>
      <c r="E1428" s="13">
        <v>5</v>
      </c>
      <c r="F1428" s="14">
        <v>21610</v>
      </c>
      <c r="G1428" s="14">
        <v>108050</v>
      </c>
      <c r="H1428" s="13" t="s">
        <v>49</v>
      </c>
      <c r="I1428" s="13" t="s">
        <v>50</v>
      </c>
    </row>
    <row r="1429" spans="1:9" x14ac:dyDescent="0.3">
      <c r="A1429" s="12">
        <v>46005</v>
      </c>
      <c r="B1429" s="13" t="s">
        <v>9</v>
      </c>
      <c r="C1429" s="13" t="s">
        <v>10</v>
      </c>
      <c r="D1429" s="13" t="s">
        <v>14</v>
      </c>
      <c r="E1429" s="13">
        <v>9</v>
      </c>
      <c r="F1429" s="14">
        <v>12542</v>
      </c>
      <c r="G1429" s="14">
        <v>112878</v>
      </c>
      <c r="H1429" s="13" t="s">
        <v>49</v>
      </c>
      <c r="I1429" s="13" t="s">
        <v>50</v>
      </c>
    </row>
    <row r="1430" spans="1:9" x14ac:dyDescent="0.3">
      <c r="A1430" s="12">
        <v>46005</v>
      </c>
      <c r="B1430" s="13" t="s">
        <v>23</v>
      </c>
      <c r="C1430" s="13" t="s">
        <v>25</v>
      </c>
      <c r="D1430" s="13" t="s">
        <v>18</v>
      </c>
      <c r="E1430" s="13">
        <v>5</v>
      </c>
      <c r="F1430" s="14">
        <v>53229</v>
      </c>
      <c r="G1430" s="14">
        <v>266145</v>
      </c>
      <c r="H1430" s="13" t="s">
        <v>49</v>
      </c>
      <c r="I1430" s="13" t="s">
        <v>50</v>
      </c>
    </row>
    <row r="1431" spans="1:9" x14ac:dyDescent="0.3">
      <c r="A1431" s="12">
        <v>46006</v>
      </c>
      <c r="B1431" s="13" t="s">
        <v>9</v>
      </c>
      <c r="C1431" s="13" t="s">
        <v>25</v>
      </c>
      <c r="D1431" s="13" t="s">
        <v>16</v>
      </c>
      <c r="E1431" s="13">
        <v>3</v>
      </c>
      <c r="F1431" s="14">
        <v>54386</v>
      </c>
      <c r="G1431" s="14">
        <v>163158</v>
      </c>
      <c r="H1431" s="13" t="s">
        <v>49</v>
      </c>
      <c r="I1431" s="13" t="s">
        <v>50</v>
      </c>
    </row>
    <row r="1432" spans="1:9" x14ac:dyDescent="0.3">
      <c r="A1432" s="12">
        <v>46006</v>
      </c>
      <c r="B1432" s="13" t="s">
        <v>23</v>
      </c>
      <c r="C1432" s="13" t="s">
        <v>19</v>
      </c>
      <c r="D1432" s="13" t="s">
        <v>27</v>
      </c>
      <c r="E1432" s="13">
        <v>2</v>
      </c>
      <c r="F1432" s="14">
        <v>17637</v>
      </c>
      <c r="G1432" s="14">
        <v>35274</v>
      </c>
      <c r="H1432" s="13" t="s">
        <v>49</v>
      </c>
      <c r="I1432" s="13" t="s">
        <v>50</v>
      </c>
    </row>
    <row r="1433" spans="1:9" x14ac:dyDescent="0.3">
      <c r="A1433" s="12">
        <v>46006</v>
      </c>
      <c r="B1433" s="13" t="s">
        <v>23</v>
      </c>
      <c r="C1433" s="13" t="s">
        <v>10</v>
      </c>
      <c r="D1433" s="13" t="s">
        <v>11</v>
      </c>
      <c r="E1433" s="13">
        <v>10</v>
      </c>
      <c r="F1433" s="14">
        <v>11557</v>
      </c>
      <c r="G1433" s="14">
        <v>115570</v>
      </c>
      <c r="H1433" s="13" t="s">
        <v>49</v>
      </c>
      <c r="I1433" s="13" t="s">
        <v>50</v>
      </c>
    </row>
    <row r="1434" spans="1:9" x14ac:dyDescent="0.3">
      <c r="A1434" s="12">
        <v>46006</v>
      </c>
      <c r="B1434" s="13" t="s">
        <v>9</v>
      </c>
      <c r="C1434" s="13" t="s">
        <v>19</v>
      </c>
      <c r="D1434" s="13" t="s">
        <v>16</v>
      </c>
      <c r="E1434" s="13">
        <v>8</v>
      </c>
      <c r="F1434" s="14">
        <v>17901</v>
      </c>
      <c r="G1434" s="14">
        <v>143208</v>
      </c>
      <c r="H1434" s="13" t="s">
        <v>49</v>
      </c>
      <c r="I1434" s="13" t="s">
        <v>50</v>
      </c>
    </row>
    <row r="1435" spans="1:9" x14ac:dyDescent="0.3">
      <c r="A1435" s="12">
        <v>46006</v>
      </c>
      <c r="B1435" s="13" t="s">
        <v>23</v>
      </c>
      <c r="C1435" s="13" t="s">
        <v>21</v>
      </c>
      <c r="D1435" s="13" t="s">
        <v>11</v>
      </c>
      <c r="E1435" s="13">
        <v>10</v>
      </c>
      <c r="F1435" s="14">
        <v>3535</v>
      </c>
      <c r="G1435" s="14">
        <v>35350</v>
      </c>
      <c r="H1435" s="13" t="s">
        <v>49</v>
      </c>
      <c r="I1435" s="13" t="s">
        <v>50</v>
      </c>
    </row>
    <row r="1436" spans="1:9" x14ac:dyDescent="0.3">
      <c r="A1436" s="12">
        <v>46007</v>
      </c>
      <c r="B1436" s="13" t="s">
        <v>23</v>
      </c>
      <c r="C1436" s="13" t="s">
        <v>19</v>
      </c>
      <c r="D1436" s="13" t="s">
        <v>27</v>
      </c>
      <c r="E1436" s="13">
        <v>7</v>
      </c>
      <c r="F1436" s="14">
        <v>18235</v>
      </c>
      <c r="G1436" s="14">
        <v>127645</v>
      </c>
      <c r="H1436" s="13" t="s">
        <v>49</v>
      </c>
      <c r="I1436" s="13" t="s">
        <v>50</v>
      </c>
    </row>
    <row r="1437" spans="1:9" x14ac:dyDescent="0.3">
      <c r="A1437" s="12">
        <v>46007</v>
      </c>
      <c r="B1437" s="13" t="s">
        <v>9</v>
      </c>
      <c r="C1437" s="13" t="s">
        <v>25</v>
      </c>
      <c r="D1437" s="13" t="s">
        <v>26</v>
      </c>
      <c r="E1437" s="13">
        <v>8</v>
      </c>
      <c r="F1437" s="14">
        <v>55970</v>
      </c>
      <c r="G1437" s="14">
        <v>447760</v>
      </c>
      <c r="H1437" s="13" t="s">
        <v>49</v>
      </c>
      <c r="I1437" s="13" t="s">
        <v>50</v>
      </c>
    </row>
    <row r="1438" spans="1:9" x14ac:dyDescent="0.3">
      <c r="A1438" s="12">
        <v>46008</v>
      </c>
      <c r="B1438" s="13" t="s">
        <v>23</v>
      </c>
      <c r="C1438" s="13" t="s">
        <v>22</v>
      </c>
      <c r="D1438" s="13" t="s">
        <v>14</v>
      </c>
      <c r="E1438" s="13">
        <v>5</v>
      </c>
      <c r="F1438" s="14">
        <v>7974</v>
      </c>
      <c r="G1438" s="14">
        <v>39870</v>
      </c>
      <c r="H1438" s="13" t="s">
        <v>49</v>
      </c>
      <c r="I1438" s="13" t="s">
        <v>50</v>
      </c>
    </row>
    <row r="1439" spans="1:9" x14ac:dyDescent="0.3">
      <c r="A1439" s="12">
        <v>46008</v>
      </c>
      <c r="B1439" s="13" t="s">
        <v>9</v>
      </c>
      <c r="C1439" s="13" t="s">
        <v>21</v>
      </c>
      <c r="D1439" s="13" t="s">
        <v>11</v>
      </c>
      <c r="E1439" s="13">
        <v>3</v>
      </c>
      <c r="F1439" s="14">
        <v>3669</v>
      </c>
      <c r="G1439" s="14">
        <v>11007</v>
      </c>
      <c r="H1439" s="13" t="s">
        <v>49</v>
      </c>
      <c r="I1439" s="13" t="s">
        <v>50</v>
      </c>
    </row>
    <row r="1440" spans="1:9" x14ac:dyDescent="0.3">
      <c r="A1440" s="12">
        <v>46008</v>
      </c>
      <c r="B1440" s="13" t="s">
        <v>20</v>
      </c>
      <c r="C1440" s="13" t="s">
        <v>15</v>
      </c>
      <c r="D1440" s="13" t="s">
        <v>18</v>
      </c>
      <c r="E1440" s="13">
        <v>5</v>
      </c>
      <c r="F1440" s="14">
        <v>22150</v>
      </c>
      <c r="G1440" s="14">
        <v>110750</v>
      </c>
      <c r="H1440" s="13" t="s">
        <v>49</v>
      </c>
      <c r="I1440" s="13" t="s">
        <v>50</v>
      </c>
    </row>
    <row r="1441" spans="1:9" x14ac:dyDescent="0.3">
      <c r="A1441" s="12">
        <v>46009</v>
      </c>
      <c r="B1441" s="13" t="s">
        <v>9</v>
      </c>
      <c r="C1441" s="13" t="s">
        <v>25</v>
      </c>
      <c r="D1441" s="13" t="s">
        <v>14</v>
      </c>
      <c r="E1441" s="13">
        <v>9</v>
      </c>
      <c r="F1441" s="14">
        <v>54587</v>
      </c>
      <c r="G1441" s="14">
        <v>491283</v>
      </c>
      <c r="H1441" s="13" t="s">
        <v>49</v>
      </c>
      <c r="I1441" s="13" t="s">
        <v>50</v>
      </c>
    </row>
    <row r="1442" spans="1:9" x14ac:dyDescent="0.3">
      <c r="A1442" s="12">
        <v>46009</v>
      </c>
      <c r="B1442" s="13" t="s">
        <v>9</v>
      </c>
      <c r="C1442" s="13" t="s">
        <v>21</v>
      </c>
      <c r="D1442" s="13" t="s">
        <v>11</v>
      </c>
      <c r="E1442" s="13">
        <v>6</v>
      </c>
      <c r="F1442" s="14">
        <v>3414</v>
      </c>
      <c r="G1442" s="14">
        <v>20484</v>
      </c>
      <c r="H1442" s="13" t="s">
        <v>49</v>
      </c>
      <c r="I1442" s="13" t="s">
        <v>50</v>
      </c>
    </row>
    <row r="1443" spans="1:9" x14ac:dyDescent="0.3">
      <c r="A1443" s="12">
        <v>46009</v>
      </c>
      <c r="B1443" s="13" t="s">
        <v>9</v>
      </c>
      <c r="C1443" s="13" t="s">
        <v>22</v>
      </c>
      <c r="D1443" s="13" t="s">
        <v>28</v>
      </c>
      <c r="E1443" s="13">
        <v>2</v>
      </c>
      <c r="F1443" s="14">
        <v>8192</v>
      </c>
      <c r="G1443" s="14">
        <v>16384</v>
      </c>
      <c r="H1443" s="13" t="s">
        <v>49</v>
      </c>
      <c r="I1443" s="13" t="s">
        <v>50</v>
      </c>
    </row>
    <row r="1444" spans="1:9" x14ac:dyDescent="0.3">
      <c r="A1444" s="12">
        <v>46009</v>
      </c>
      <c r="B1444" s="13" t="s">
        <v>23</v>
      </c>
      <c r="C1444" s="13" t="s">
        <v>15</v>
      </c>
      <c r="D1444" s="13" t="s">
        <v>27</v>
      </c>
      <c r="E1444" s="13">
        <v>7</v>
      </c>
      <c r="F1444" s="14">
        <v>20999</v>
      </c>
      <c r="G1444" s="14">
        <v>146993</v>
      </c>
      <c r="H1444" s="13" t="s">
        <v>49</v>
      </c>
      <c r="I1444" s="13" t="s">
        <v>50</v>
      </c>
    </row>
    <row r="1445" spans="1:9" x14ac:dyDescent="0.3">
      <c r="A1445" s="12">
        <v>46009</v>
      </c>
      <c r="B1445" s="13" t="s">
        <v>23</v>
      </c>
      <c r="C1445" s="13" t="s">
        <v>10</v>
      </c>
      <c r="D1445" s="13" t="s">
        <v>11</v>
      </c>
      <c r="E1445" s="13">
        <v>6</v>
      </c>
      <c r="F1445" s="14">
        <v>12104</v>
      </c>
      <c r="G1445" s="14">
        <v>72624</v>
      </c>
      <c r="H1445" s="13" t="s">
        <v>49</v>
      </c>
      <c r="I1445" s="13" t="s">
        <v>50</v>
      </c>
    </row>
    <row r="1446" spans="1:9" x14ac:dyDescent="0.3">
      <c r="A1446" s="12">
        <v>46009</v>
      </c>
      <c r="B1446" s="13" t="s">
        <v>23</v>
      </c>
      <c r="C1446" s="13" t="s">
        <v>10</v>
      </c>
      <c r="D1446" s="13" t="s">
        <v>24</v>
      </c>
      <c r="E1446" s="13">
        <v>10</v>
      </c>
      <c r="F1446" s="14">
        <v>12369</v>
      </c>
      <c r="G1446" s="14">
        <v>123690</v>
      </c>
      <c r="H1446" s="13" t="s">
        <v>49</v>
      </c>
      <c r="I1446" s="13" t="s">
        <v>50</v>
      </c>
    </row>
    <row r="1447" spans="1:9" x14ac:dyDescent="0.3">
      <c r="A1447" s="12">
        <v>46010</v>
      </c>
      <c r="B1447" s="13" t="s">
        <v>17</v>
      </c>
      <c r="C1447" s="13" t="s">
        <v>15</v>
      </c>
      <c r="D1447" s="13" t="s">
        <v>27</v>
      </c>
      <c r="E1447" s="13">
        <v>2</v>
      </c>
      <c r="F1447" s="14">
        <v>22543</v>
      </c>
      <c r="G1447" s="14">
        <v>45086</v>
      </c>
      <c r="H1447" s="13" t="s">
        <v>49</v>
      </c>
      <c r="I1447" s="13" t="s">
        <v>50</v>
      </c>
    </row>
    <row r="1448" spans="1:9" x14ac:dyDescent="0.3">
      <c r="A1448" s="12">
        <v>46010</v>
      </c>
      <c r="B1448" s="13" t="s">
        <v>20</v>
      </c>
      <c r="C1448" s="13" t="s">
        <v>10</v>
      </c>
      <c r="D1448" s="13" t="s">
        <v>14</v>
      </c>
      <c r="E1448" s="13">
        <v>7</v>
      </c>
      <c r="F1448" s="14">
        <v>12041</v>
      </c>
      <c r="G1448" s="14">
        <v>84287</v>
      </c>
      <c r="H1448" s="13" t="s">
        <v>49</v>
      </c>
      <c r="I1448" s="13" t="s">
        <v>50</v>
      </c>
    </row>
    <row r="1449" spans="1:9" x14ac:dyDescent="0.3">
      <c r="A1449" s="12">
        <v>46010</v>
      </c>
      <c r="B1449" s="13" t="s">
        <v>9</v>
      </c>
      <c r="C1449" s="13" t="s">
        <v>21</v>
      </c>
      <c r="D1449" s="13" t="s">
        <v>14</v>
      </c>
      <c r="E1449" s="13">
        <v>1</v>
      </c>
      <c r="F1449" s="14">
        <v>3385</v>
      </c>
      <c r="G1449" s="14">
        <v>3385</v>
      </c>
      <c r="H1449" s="13" t="s">
        <v>49</v>
      </c>
      <c r="I1449" s="13" t="s">
        <v>50</v>
      </c>
    </row>
    <row r="1450" spans="1:9" x14ac:dyDescent="0.3">
      <c r="A1450" s="12">
        <v>46010</v>
      </c>
      <c r="B1450" s="13" t="s">
        <v>23</v>
      </c>
      <c r="C1450" s="13" t="s">
        <v>21</v>
      </c>
      <c r="D1450" s="13" t="s">
        <v>18</v>
      </c>
      <c r="E1450" s="13">
        <v>10</v>
      </c>
      <c r="F1450" s="14">
        <v>3579</v>
      </c>
      <c r="G1450" s="14">
        <v>35790</v>
      </c>
      <c r="H1450" s="13" t="s">
        <v>49</v>
      </c>
      <c r="I1450" s="13" t="s">
        <v>50</v>
      </c>
    </row>
    <row r="1451" spans="1:9" x14ac:dyDescent="0.3">
      <c r="A1451" s="12">
        <v>46011</v>
      </c>
      <c r="B1451" s="13" t="s">
        <v>20</v>
      </c>
      <c r="C1451" s="13" t="s">
        <v>10</v>
      </c>
      <c r="D1451" s="13" t="s">
        <v>18</v>
      </c>
      <c r="E1451" s="13">
        <v>5</v>
      </c>
      <c r="F1451" s="14">
        <v>11505</v>
      </c>
      <c r="G1451" s="14">
        <v>57525</v>
      </c>
      <c r="H1451" s="13" t="s">
        <v>49</v>
      </c>
      <c r="I1451" s="13" t="s">
        <v>50</v>
      </c>
    </row>
    <row r="1452" spans="1:9" x14ac:dyDescent="0.3">
      <c r="A1452" s="12">
        <v>46011</v>
      </c>
      <c r="B1452" s="13" t="s">
        <v>17</v>
      </c>
      <c r="C1452" s="13" t="s">
        <v>25</v>
      </c>
      <c r="D1452" s="13" t="s">
        <v>16</v>
      </c>
      <c r="E1452" s="13">
        <v>2</v>
      </c>
      <c r="F1452" s="14">
        <v>56737</v>
      </c>
      <c r="G1452" s="14">
        <v>113474</v>
      </c>
      <c r="H1452" s="13" t="s">
        <v>49</v>
      </c>
      <c r="I1452" s="13" t="s">
        <v>50</v>
      </c>
    </row>
    <row r="1453" spans="1:9" x14ac:dyDescent="0.3">
      <c r="A1453" s="12">
        <v>46011</v>
      </c>
      <c r="B1453" s="13" t="s">
        <v>17</v>
      </c>
      <c r="C1453" s="13" t="s">
        <v>25</v>
      </c>
      <c r="D1453" s="13" t="s">
        <v>16</v>
      </c>
      <c r="E1453" s="13">
        <v>8</v>
      </c>
      <c r="F1453" s="14">
        <v>55817</v>
      </c>
      <c r="G1453" s="14">
        <v>446536</v>
      </c>
      <c r="H1453" s="13" t="s">
        <v>49</v>
      </c>
      <c r="I1453" s="13" t="s">
        <v>50</v>
      </c>
    </row>
    <row r="1454" spans="1:9" x14ac:dyDescent="0.3">
      <c r="A1454" s="12">
        <v>46011</v>
      </c>
      <c r="B1454" s="13" t="s">
        <v>17</v>
      </c>
      <c r="C1454" s="13" t="s">
        <v>21</v>
      </c>
      <c r="D1454" s="13" t="s">
        <v>16</v>
      </c>
      <c r="E1454" s="13">
        <v>2</v>
      </c>
      <c r="F1454" s="14">
        <v>3430</v>
      </c>
      <c r="G1454" s="14">
        <v>6860</v>
      </c>
      <c r="H1454" s="13" t="s">
        <v>49</v>
      </c>
      <c r="I1454" s="13" t="s">
        <v>50</v>
      </c>
    </row>
    <row r="1455" spans="1:9" x14ac:dyDescent="0.3">
      <c r="A1455" s="12">
        <v>46012</v>
      </c>
      <c r="B1455" s="13" t="s">
        <v>17</v>
      </c>
      <c r="C1455" s="13" t="s">
        <v>21</v>
      </c>
      <c r="D1455" s="13" t="s">
        <v>18</v>
      </c>
      <c r="E1455" s="13">
        <v>1</v>
      </c>
      <c r="F1455" s="14">
        <v>3365</v>
      </c>
      <c r="G1455" s="14">
        <v>3365</v>
      </c>
      <c r="H1455" s="13" t="s">
        <v>49</v>
      </c>
      <c r="I1455" s="13" t="s">
        <v>50</v>
      </c>
    </row>
    <row r="1456" spans="1:9" x14ac:dyDescent="0.3">
      <c r="A1456" s="12">
        <v>46012</v>
      </c>
      <c r="B1456" s="13" t="s">
        <v>17</v>
      </c>
      <c r="C1456" s="13" t="s">
        <v>10</v>
      </c>
      <c r="D1456" s="13" t="s">
        <v>24</v>
      </c>
      <c r="E1456" s="13">
        <v>8</v>
      </c>
      <c r="F1456" s="14">
        <v>11965</v>
      </c>
      <c r="G1456" s="14">
        <v>95720</v>
      </c>
      <c r="H1456" s="13" t="s">
        <v>49</v>
      </c>
      <c r="I1456" s="13" t="s">
        <v>50</v>
      </c>
    </row>
    <row r="1457" spans="1:9" x14ac:dyDescent="0.3">
      <c r="A1457" s="12">
        <v>46012</v>
      </c>
      <c r="B1457" s="13" t="s">
        <v>23</v>
      </c>
      <c r="C1457" s="13" t="s">
        <v>22</v>
      </c>
      <c r="D1457" s="13" t="s">
        <v>16</v>
      </c>
      <c r="E1457" s="13">
        <v>4</v>
      </c>
      <c r="F1457" s="14">
        <v>7835</v>
      </c>
      <c r="G1457" s="14">
        <v>31340</v>
      </c>
      <c r="H1457" s="13" t="s">
        <v>49</v>
      </c>
      <c r="I1457" s="13" t="s">
        <v>50</v>
      </c>
    </row>
    <row r="1458" spans="1:9" x14ac:dyDescent="0.3">
      <c r="A1458" s="12">
        <v>46012</v>
      </c>
      <c r="B1458" s="13" t="s">
        <v>23</v>
      </c>
      <c r="C1458" s="13" t="s">
        <v>25</v>
      </c>
      <c r="D1458" s="13" t="s">
        <v>26</v>
      </c>
      <c r="E1458" s="13">
        <v>1</v>
      </c>
      <c r="F1458" s="14">
        <v>52814</v>
      </c>
      <c r="G1458" s="14">
        <v>52814</v>
      </c>
      <c r="H1458" s="13" t="s">
        <v>49</v>
      </c>
      <c r="I1458" s="13" t="s">
        <v>50</v>
      </c>
    </row>
    <row r="1459" spans="1:9" x14ac:dyDescent="0.3">
      <c r="A1459" s="12">
        <v>46012</v>
      </c>
      <c r="B1459" s="13" t="s">
        <v>23</v>
      </c>
      <c r="C1459" s="13" t="s">
        <v>21</v>
      </c>
      <c r="D1459" s="13" t="s">
        <v>24</v>
      </c>
      <c r="E1459" s="13">
        <v>10</v>
      </c>
      <c r="F1459" s="14">
        <v>3533</v>
      </c>
      <c r="G1459" s="14">
        <v>35330</v>
      </c>
      <c r="H1459" s="13" t="s">
        <v>49</v>
      </c>
      <c r="I1459" s="13" t="s">
        <v>50</v>
      </c>
    </row>
    <row r="1460" spans="1:9" x14ac:dyDescent="0.3">
      <c r="A1460" s="12">
        <v>46013</v>
      </c>
      <c r="B1460" s="13" t="s">
        <v>20</v>
      </c>
      <c r="C1460" s="13" t="s">
        <v>25</v>
      </c>
      <c r="D1460" s="13" t="s">
        <v>24</v>
      </c>
      <c r="E1460" s="13">
        <v>7</v>
      </c>
      <c r="F1460" s="14">
        <v>54923</v>
      </c>
      <c r="G1460" s="14">
        <v>384461</v>
      </c>
      <c r="H1460" s="13" t="s">
        <v>49</v>
      </c>
      <c r="I1460" s="13" t="s">
        <v>50</v>
      </c>
    </row>
    <row r="1461" spans="1:9" x14ac:dyDescent="0.3">
      <c r="A1461" s="12">
        <v>46013</v>
      </c>
      <c r="B1461" s="13" t="s">
        <v>23</v>
      </c>
      <c r="C1461" s="13" t="s">
        <v>15</v>
      </c>
      <c r="D1461" s="13" t="s">
        <v>28</v>
      </c>
      <c r="E1461" s="13">
        <v>9</v>
      </c>
      <c r="F1461" s="14">
        <v>20941</v>
      </c>
      <c r="G1461" s="14">
        <v>188469</v>
      </c>
      <c r="H1461" s="13" t="s">
        <v>49</v>
      </c>
      <c r="I1461" s="13" t="s">
        <v>50</v>
      </c>
    </row>
    <row r="1462" spans="1:9" x14ac:dyDescent="0.3">
      <c r="A1462" s="12">
        <v>46013</v>
      </c>
      <c r="B1462" s="13" t="s">
        <v>20</v>
      </c>
      <c r="C1462" s="13" t="s">
        <v>22</v>
      </c>
      <c r="D1462" s="13" t="s">
        <v>14</v>
      </c>
      <c r="E1462" s="13">
        <v>5</v>
      </c>
      <c r="F1462" s="14">
        <v>8314</v>
      </c>
      <c r="G1462" s="14">
        <v>41570</v>
      </c>
      <c r="H1462" s="13" t="s">
        <v>49</v>
      </c>
      <c r="I1462" s="13" t="s">
        <v>50</v>
      </c>
    </row>
    <row r="1463" spans="1:9" x14ac:dyDescent="0.3">
      <c r="A1463" s="12">
        <v>46013</v>
      </c>
      <c r="B1463" s="13" t="s">
        <v>23</v>
      </c>
      <c r="C1463" s="13" t="s">
        <v>21</v>
      </c>
      <c r="D1463" s="13" t="s">
        <v>14</v>
      </c>
      <c r="E1463" s="13">
        <v>8</v>
      </c>
      <c r="F1463" s="14">
        <v>3542</v>
      </c>
      <c r="G1463" s="14">
        <v>28336</v>
      </c>
      <c r="H1463" s="13" t="s">
        <v>49</v>
      </c>
      <c r="I1463" s="13" t="s">
        <v>50</v>
      </c>
    </row>
    <row r="1464" spans="1:9" x14ac:dyDescent="0.3">
      <c r="A1464" s="12">
        <v>46013</v>
      </c>
      <c r="B1464" s="13" t="s">
        <v>20</v>
      </c>
      <c r="C1464" s="13" t="s">
        <v>21</v>
      </c>
      <c r="D1464" s="13" t="s">
        <v>18</v>
      </c>
      <c r="E1464" s="13">
        <v>1</v>
      </c>
      <c r="F1464" s="14">
        <v>3381</v>
      </c>
      <c r="G1464" s="14">
        <v>3381</v>
      </c>
      <c r="H1464" s="13" t="s">
        <v>49</v>
      </c>
      <c r="I1464" s="13" t="s">
        <v>50</v>
      </c>
    </row>
    <row r="1465" spans="1:9" x14ac:dyDescent="0.3">
      <c r="A1465" s="12">
        <v>46013</v>
      </c>
      <c r="B1465" s="13" t="s">
        <v>17</v>
      </c>
      <c r="C1465" s="13" t="s">
        <v>21</v>
      </c>
      <c r="D1465" s="13" t="s">
        <v>26</v>
      </c>
      <c r="E1465" s="13">
        <v>8</v>
      </c>
      <c r="F1465" s="14">
        <v>3406</v>
      </c>
      <c r="G1465" s="14">
        <v>27248</v>
      </c>
      <c r="H1465" s="13" t="s">
        <v>49</v>
      </c>
      <c r="I1465" s="13" t="s">
        <v>50</v>
      </c>
    </row>
    <row r="1466" spans="1:9" x14ac:dyDescent="0.3">
      <c r="A1466" s="12">
        <v>46014</v>
      </c>
      <c r="B1466" s="13" t="s">
        <v>20</v>
      </c>
      <c r="C1466" s="13" t="s">
        <v>22</v>
      </c>
      <c r="D1466" s="13" t="s">
        <v>24</v>
      </c>
      <c r="E1466" s="13">
        <v>3</v>
      </c>
      <c r="F1466" s="14">
        <v>8306</v>
      </c>
      <c r="G1466" s="14">
        <v>24918</v>
      </c>
      <c r="H1466" s="13" t="s">
        <v>49</v>
      </c>
      <c r="I1466" s="13" t="s">
        <v>50</v>
      </c>
    </row>
    <row r="1467" spans="1:9" x14ac:dyDescent="0.3">
      <c r="A1467" s="12">
        <v>46014</v>
      </c>
      <c r="B1467" s="13" t="s">
        <v>23</v>
      </c>
      <c r="C1467" s="13" t="s">
        <v>21</v>
      </c>
      <c r="D1467" s="13" t="s">
        <v>26</v>
      </c>
      <c r="E1467" s="13">
        <v>8</v>
      </c>
      <c r="F1467" s="14">
        <v>3604</v>
      </c>
      <c r="G1467" s="14">
        <v>28832</v>
      </c>
      <c r="H1467" s="13" t="s">
        <v>49</v>
      </c>
      <c r="I1467" s="13" t="s">
        <v>50</v>
      </c>
    </row>
    <row r="1468" spans="1:9" x14ac:dyDescent="0.3">
      <c r="A1468" s="12">
        <v>46014</v>
      </c>
      <c r="B1468" s="13" t="s">
        <v>17</v>
      </c>
      <c r="C1468" s="13" t="s">
        <v>22</v>
      </c>
      <c r="D1468" s="13" t="s">
        <v>16</v>
      </c>
      <c r="E1468" s="13">
        <v>5</v>
      </c>
      <c r="F1468" s="14">
        <v>8152</v>
      </c>
      <c r="G1468" s="14">
        <v>40760</v>
      </c>
      <c r="H1468" s="13" t="s">
        <v>49</v>
      </c>
      <c r="I1468" s="13" t="s">
        <v>50</v>
      </c>
    </row>
    <row r="1469" spans="1:9" x14ac:dyDescent="0.3">
      <c r="A1469" s="12">
        <v>46015</v>
      </c>
      <c r="B1469" s="13" t="s">
        <v>23</v>
      </c>
      <c r="C1469" s="13" t="s">
        <v>15</v>
      </c>
      <c r="D1469" s="13" t="s">
        <v>27</v>
      </c>
      <c r="E1469" s="13">
        <v>4</v>
      </c>
      <c r="F1469" s="14">
        <v>21243</v>
      </c>
      <c r="G1469" s="14">
        <v>84972</v>
      </c>
      <c r="H1469" s="13" t="s">
        <v>49</v>
      </c>
      <c r="I1469" s="13" t="s">
        <v>50</v>
      </c>
    </row>
    <row r="1470" spans="1:9" x14ac:dyDescent="0.3">
      <c r="A1470" s="12">
        <v>46015</v>
      </c>
      <c r="B1470" s="13" t="s">
        <v>23</v>
      </c>
      <c r="C1470" s="13" t="s">
        <v>25</v>
      </c>
      <c r="D1470" s="13" t="s">
        <v>18</v>
      </c>
      <c r="E1470" s="13">
        <v>8</v>
      </c>
      <c r="F1470" s="14">
        <v>53920</v>
      </c>
      <c r="G1470" s="14">
        <v>431360</v>
      </c>
      <c r="H1470" s="13" t="s">
        <v>49</v>
      </c>
      <c r="I1470" s="13" t="s">
        <v>50</v>
      </c>
    </row>
    <row r="1471" spans="1:9" x14ac:dyDescent="0.3">
      <c r="A1471" s="12">
        <v>46016</v>
      </c>
      <c r="B1471" s="13" t="s">
        <v>9</v>
      </c>
      <c r="C1471" s="13" t="s">
        <v>25</v>
      </c>
      <c r="D1471" s="13" t="s">
        <v>26</v>
      </c>
      <c r="E1471" s="13">
        <v>5</v>
      </c>
      <c r="F1471" s="14">
        <v>54213</v>
      </c>
      <c r="G1471" s="14">
        <v>271065</v>
      </c>
      <c r="H1471" s="13" t="s">
        <v>49</v>
      </c>
      <c r="I1471" s="13" t="s">
        <v>50</v>
      </c>
    </row>
    <row r="1472" spans="1:9" x14ac:dyDescent="0.3">
      <c r="A1472" s="12">
        <v>46016</v>
      </c>
      <c r="B1472" s="13" t="s">
        <v>17</v>
      </c>
      <c r="C1472" s="13" t="s">
        <v>15</v>
      </c>
      <c r="D1472" s="13" t="s">
        <v>28</v>
      </c>
      <c r="E1472" s="13">
        <v>2</v>
      </c>
      <c r="F1472" s="14">
        <v>21643</v>
      </c>
      <c r="G1472" s="14">
        <v>43286</v>
      </c>
      <c r="H1472" s="13" t="s">
        <v>49</v>
      </c>
      <c r="I1472" s="13" t="s">
        <v>50</v>
      </c>
    </row>
    <row r="1473" spans="1:9" x14ac:dyDescent="0.3">
      <c r="A1473" s="12">
        <v>46016</v>
      </c>
      <c r="B1473" s="13" t="s">
        <v>9</v>
      </c>
      <c r="C1473" s="13" t="s">
        <v>22</v>
      </c>
      <c r="D1473" s="13" t="s">
        <v>16</v>
      </c>
      <c r="E1473" s="13">
        <v>2</v>
      </c>
      <c r="F1473" s="14">
        <v>8049</v>
      </c>
      <c r="G1473" s="14">
        <v>16098</v>
      </c>
      <c r="H1473" s="13" t="s">
        <v>49</v>
      </c>
      <c r="I1473" s="13" t="s">
        <v>50</v>
      </c>
    </row>
    <row r="1474" spans="1:9" x14ac:dyDescent="0.3">
      <c r="A1474" s="12">
        <v>46017</v>
      </c>
      <c r="B1474" s="13" t="s">
        <v>20</v>
      </c>
      <c r="C1474" s="13" t="s">
        <v>19</v>
      </c>
      <c r="D1474" s="13" t="s">
        <v>26</v>
      </c>
      <c r="E1474" s="13">
        <v>1</v>
      </c>
      <c r="F1474" s="14">
        <v>18486</v>
      </c>
      <c r="G1474" s="14">
        <v>18486</v>
      </c>
      <c r="H1474" s="13" t="s">
        <v>49</v>
      </c>
      <c r="I1474" s="13" t="s">
        <v>50</v>
      </c>
    </row>
    <row r="1475" spans="1:9" x14ac:dyDescent="0.3">
      <c r="A1475" s="12">
        <v>46017</v>
      </c>
      <c r="B1475" s="13" t="s">
        <v>20</v>
      </c>
      <c r="C1475" s="13" t="s">
        <v>15</v>
      </c>
      <c r="D1475" s="13" t="s">
        <v>14</v>
      </c>
      <c r="E1475" s="13">
        <v>1</v>
      </c>
      <c r="F1475" s="14">
        <v>22938</v>
      </c>
      <c r="G1475" s="14">
        <v>22938</v>
      </c>
      <c r="H1475" s="13" t="s">
        <v>49</v>
      </c>
      <c r="I1475" s="13" t="s">
        <v>50</v>
      </c>
    </row>
    <row r="1476" spans="1:9" x14ac:dyDescent="0.3">
      <c r="A1476" s="12">
        <v>46017</v>
      </c>
      <c r="B1476" s="13" t="s">
        <v>23</v>
      </c>
      <c r="C1476" s="13" t="s">
        <v>21</v>
      </c>
      <c r="D1476" s="13" t="s">
        <v>14</v>
      </c>
      <c r="E1476" s="13">
        <v>2</v>
      </c>
      <c r="F1476" s="14">
        <v>3598</v>
      </c>
      <c r="G1476" s="14">
        <v>7196</v>
      </c>
      <c r="H1476" s="13" t="s">
        <v>49</v>
      </c>
      <c r="I1476" s="13" t="s">
        <v>50</v>
      </c>
    </row>
    <row r="1477" spans="1:9" x14ac:dyDescent="0.3">
      <c r="A1477" s="12">
        <v>46017</v>
      </c>
      <c r="B1477" s="13" t="s">
        <v>9</v>
      </c>
      <c r="C1477" s="13" t="s">
        <v>22</v>
      </c>
      <c r="D1477" s="13" t="s">
        <v>28</v>
      </c>
      <c r="E1477" s="13">
        <v>9</v>
      </c>
      <c r="F1477" s="14">
        <v>7684</v>
      </c>
      <c r="G1477" s="14">
        <v>69156</v>
      </c>
      <c r="H1477" s="13" t="s">
        <v>49</v>
      </c>
      <c r="I1477" s="13" t="s">
        <v>50</v>
      </c>
    </row>
    <row r="1478" spans="1:9" x14ac:dyDescent="0.3">
      <c r="A1478" s="12">
        <v>46017</v>
      </c>
      <c r="B1478" s="13" t="s">
        <v>9</v>
      </c>
      <c r="C1478" s="13" t="s">
        <v>15</v>
      </c>
      <c r="D1478" s="13" t="s">
        <v>26</v>
      </c>
      <c r="E1478" s="13">
        <v>3</v>
      </c>
      <c r="F1478" s="14">
        <v>22502</v>
      </c>
      <c r="G1478" s="14">
        <v>67506</v>
      </c>
      <c r="H1478" s="13" t="s">
        <v>49</v>
      </c>
      <c r="I1478" s="13" t="s">
        <v>50</v>
      </c>
    </row>
    <row r="1479" spans="1:9" x14ac:dyDescent="0.3">
      <c r="A1479" s="12">
        <v>46018</v>
      </c>
      <c r="B1479" s="13" t="s">
        <v>23</v>
      </c>
      <c r="C1479" s="13" t="s">
        <v>10</v>
      </c>
      <c r="D1479" s="13" t="s">
        <v>14</v>
      </c>
      <c r="E1479" s="13">
        <v>3</v>
      </c>
      <c r="F1479" s="14">
        <v>12176</v>
      </c>
      <c r="G1479" s="14">
        <v>36528</v>
      </c>
      <c r="H1479" s="13" t="s">
        <v>49</v>
      </c>
      <c r="I1479" s="13" t="s">
        <v>50</v>
      </c>
    </row>
    <row r="1480" spans="1:9" x14ac:dyDescent="0.3">
      <c r="A1480" s="12">
        <v>46018</v>
      </c>
      <c r="B1480" s="13" t="s">
        <v>20</v>
      </c>
      <c r="C1480" s="13" t="s">
        <v>15</v>
      </c>
      <c r="D1480" s="13" t="s">
        <v>14</v>
      </c>
      <c r="E1480" s="13">
        <v>4</v>
      </c>
      <c r="F1480" s="14">
        <v>21866</v>
      </c>
      <c r="G1480" s="14">
        <v>87464</v>
      </c>
      <c r="H1480" s="13" t="s">
        <v>49</v>
      </c>
      <c r="I1480" s="13" t="s">
        <v>50</v>
      </c>
    </row>
    <row r="1481" spans="1:9" x14ac:dyDescent="0.3">
      <c r="A1481" s="12">
        <v>46018</v>
      </c>
      <c r="B1481" s="13" t="s">
        <v>23</v>
      </c>
      <c r="C1481" s="13" t="s">
        <v>25</v>
      </c>
      <c r="D1481" s="13" t="s">
        <v>16</v>
      </c>
      <c r="E1481" s="13">
        <v>8</v>
      </c>
      <c r="F1481" s="14">
        <v>54127</v>
      </c>
      <c r="G1481" s="14">
        <v>433016</v>
      </c>
      <c r="H1481" s="13" t="s">
        <v>49</v>
      </c>
      <c r="I1481" s="13" t="s">
        <v>50</v>
      </c>
    </row>
    <row r="1482" spans="1:9" x14ac:dyDescent="0.3">
      <c r="A1482" s="12">
        <v>46018</v>
      </c>
      <c r="B1482" s="13" t="s">
        <v>17</v>
      </c>
      <c r="C1482" s="13" t="s">
        <v>25</v>
      </c>
      <c r="D1482" s="13" t="s">
        <v>11</v>
      </c>
      <c r="E1482" s="13">
        <v>6</v>
      </c>
      <c r="F1482" s="14">
        <v>56183</v>
      </c>
      <c r="G1482" s="14">
        <v>337098</v>
      </c>
      <c r="H1482" s="13" t="s">
        <v>49</v>
      </c>
      <c r="I1482" s="13" t="s">
        <v>50</v>
      </c>
    </row>
    <row r="1483" spans="1:9" x14ac:dyDescent="0.3">
      <c r="A1483" s="12">
        <v>46018</v>
      </c>
      <c r="B1483" s="13" t="s">
        <v>23</v>
      </c>
      <c r="C1483" s="13" t="s">
        <v>19</v>
      </c>
      <c r="D1483" s="13" t="s">
        <v>16</v>
      </c>
      <c r="E1483" s="13">
        <v>3</v>
      </c>
      <c r="F1483" s="14">
        <v>18455</v>
      </c>
      <c r="G1483" s="14">
        <v>55365</v>
      </c>
      <c r="H1483" s="13" t="s">
        <v>49</v>
      </c>
      <c r="I1483" s="13" t="s">
        <v>50</v>
      </c>
    </row>
    <row r="1484" spans="1:9" x14ac:dyDescent="0.3">
      <c r="A1484" s="12">
        <v>46019</v>
      </c>
      <c r="B1484" s="13" t="s">
        <v>23</v>
      </c>
      <c r="C1484" s="13" t="s">
        <v>15</v>
      </c>
      <c r="D1484" s="13" t="s">
        <v>27</v>
      </c>
      <c r="E1484" s="13">
        <v>7</v>
      </c>
      <c r="F1484" s="14">
        <v>21809</v>
      </c>
      <c r="G1484" s="14">
        <v>152663</v>
      </c>
      <c r="H1484" s="13" t="s">
        <v>49</v>
      </c>
      <c r="I1484" s="13" t="s">
        <v>50</v>
      </c>
    </row>
    <row r="1485" spans="1:9" x14ac:dyDescent="0.3">
      <c r="A1485" s="12">
        <v>46019</v>
      </c>
      <c r="B1485" s="13" t="s">
        <v>23</v>
      </c>
      <c r="C1485" s="13" t="s">
        <v>21</v>
      </c>
      <c r="D1485" s="13" t="s">
        <v>26</v>
      </c>
      <c r="E1485" s="13">
        <v>1</v>
      </c>
      <c r="F1485" s="14">
        <v>3479</v>
      </c>
      <c r="G1485" s="14">
        <v>3479</v>
      </c>
      <c r="H1485" s="13" t="s">
        <v>49</v>
      </c>
      <c r="I1485" s="13" t="s">
        <v>50</v>
      </c>
    </row>
    <row r="1486" spans="1:9" x14ac:dyDescent="0.3">
      <c r="A1486" s="12">
        <v>46019</v>
      </c>
      <c r="B1486" s="13" t="s">
        <v>9</v>
      </c>
      <c r="C1486" s="13" t="s">
        <v>10</v>
      </c>
      <c r="D1486" s="13" t="s">
        <v>14</v>
      </c>
      <c r="E1486" s="13">
        <v>2</v>
      </c>
      <c r="F1486" s="14">
        <v>11805</v>
      </c>
      <c r="G1486" s="14">
        <v>23610</v>
      </c>
      <c r="H1486" s="13" t="s">
        <v>49</v>
      </c>
      <c r="I1486" s="13" t="s">
        <v>50</v>
      </c>
    </row>
    <row r="1487" spans="1:9" x14ac:dyDescent="0.3">
      <c r="A1487" s="12">
        <v>46019</v>
      </c>
      <c r="B1487" s="13" t="s">
        <v>23</v>
      </c>
      <c r="C1487" s="13" t="s">
        <v>15</v>
      </c>
      <c r="D1487" s="13" t="s">
        <v>18</v>
      </c>
      <c r="E1487" s="13">
        <v>1</v>
      </c>
      <c r="F1487" s="14">
        <v>21765</v>
      </c>
      <c r="G1487" s="14">
        <v>21765</v>
      </c>
      <c r="H1487" s="13" t="s">
        <v>49</v>
      </c>
      <c r="I1487" s="13" t="s">
        <v>50</v>
      </c>
    </row>
    <row r="1488" spans="1:9" x14ac:dyDescent="0.3">
      <c r="A1488" s="12">
        <v>46019</v>
      </c>
      <c r="B1488" s="13" t="s">
        <v>9</v>
      </c>
      <c r="C1488" s="13" t="s">
        <v>10</v>
      </c>
      <c r="D1488" s="13" t="s">
        <v>27</v>
      </c>
      <c r="E1488" s="13">
        <v>10</v>
      </c>
      <c r="F1488" s="14">
        <v>11469</v>
      </c>
      <c r="G1488" s="14">
        <v>114690</v>
      </c>
      <c r="H1488" s="13" t="s">
        <v>49</v>
      </c>
      <c r="I1488" s="13" t="s">
        <v>50</v>
      </c>
    </row>
    <row r="1489" spans="1:9" x14ac:dyDescent="0.3">
      <c r="A1489" s="12">
        <v>46019</v>
      </c>
      <c r="B1489" s="13" t="s">
        <v>20</v>
      </c>
      <c r="C1489" s="13" t="s">
        <v>21</v>
      </c>
      <c r="D1489" s="13" t="s">
        <v>18</v>
      </c>
      <c r="E1489" s="13">
        <v>9</v>
      </c>
      <c r="F1489" s="14">
        <v>3630</v>
      </c>
      <c r="G1489" s="14">
        <v>32670</v>
      </c>
      <c r="H1489" s="13" t="s">
        <v>49</v>
      </c>
      <c r="I1489" s="13" t="s">
        <v>50</v>
      </c>
    </row>
    <row r="1490" spans="1:9" x14ac:dyDescent="0.3">
      <c r="A1490" s="12">
        <v>46020</v>
      </c>
      <c r="B1490" s="13" t="s">
        <v>20</v>
      </c>
      <c r="C1490" s="13" t="s">
        <v>25</v>
      </c>
      <c r="D1490" s="13" t="s">
        <v>11</v>
      </c>
      <c r="E1490" s="13">
        <v>9</v>
      </c>
      <c r="F1490" s="14">
        <v>55607</v>
      </c>
      <c r="G1490" s="14">
        <v>500463</v>
      </c>
      <c r="H1490" s="13" t="s">
        <v>49</v>
      </c>
      <c r="I1490" s="13" t="s">
        <v>50</v>
      </c>
    </row>
    <row r="1491" spans="1:9" x14ac:dyDescent="0.3">
      <c r="A1491" s="12">
        <v>46020</v>
      </c>
      <c r="B1491" s="13" t="s">
        <v>17</v>
      </c>
      <c r="C1491" s="13" t="s">
        <v>10</v>
      </c>
      <c r="D1491" s="13" t="s">
        <v>18</v>
      </c>
      <c r="E1491" s="13">
        <v>8</v>
      </c>
      <c r="F1491" s="14">
        <v>12172</v>
      </c>
      <c r="G1491" s="14">
        <v>97376</v>
      </c>
      <c r="H1491" s="13" t="s">
        <v>49</v>
      </c>
      <c r="I1491" s="13" t="s">
        <v>50</v>
      </c>
    </row>
    <row r="1492" spans="1:9" x14ac:dyDescent="0.3">
      <c r="A1492" s="12">
        <v>46020</v>
      </c>
      <c r="B1492" s="13" t="s">
        <v>23</v>
      </c>
      <c r="C1492" s="13" t="s">
        <v>10</v>
      </c>
      <c r="D1492" s="13" t="s">
        <v>26</v>
      </c>
      <c r="E1492" s="13">
        <v>7</v>
      </c>
      <c r="F1492" s="14">
        <v>12330</v>
      </c>
      <c r="G1492" s="14">
        <v>86310</v>
      </c>
      <c r="H1492" s="13" t="s">
        <v>49</v>
      </c>
      <c r="I1492" s="13" t="s">
        <v>50</v>
      </c>
    </row>
    <row r="1493" spans="1:9" x14ac:dyDescent="0.3">
      <c r="A1493" s="12">
        <v>46020</v>
      </c>
      <c r="B1493" s="13" t="s">
        <v>20</v>
      </c>
      <c r="C1493" s="13" t="s">
        <v>25</v>
      </c>
      <c r="D1493" s="13" t="s">
        <v>28</v>
      </c>
      <c r="E1493" s="13">
        <v>9</v>
      </c>
      <c r="F1493" s="14">
        <v>54089</v>
      </c>
      <c r="G1493" s="14">
        <v>486801</v>
      </c>
      <c r="H1493" s="13" t="s">
        <v>49</v>
      </c>
      <c r="I1493" s="13" t="s">
        <v>50</v>
      </c>
    </row>
    <row r="1494" spans="1:9" x14ac:dyDescent="0.3">
      <c r="A1494" s="12">
        <v>46021</v>
      </c>
      <c r="B1494" s="13" t="s">
        <v>20</v>
      </c>
      <c r="C1494" s="13" t="s">
        <v>15</v>
      </c>
      <c r="D1494" s="13" t="s">
        <v>14</v>
      </c>
      <c r="E1494" s="13">
        <v>9</v>
      </c>
      <c r="F1494" s="14">
        <v>22113</v>
      </c>
      <c r="G1494" s="14">
        <v>199017</v>
      </c>
      <c r="H1494" s="13" t="s">
        <v>49</v>
      </c>
      <c r="I1494" s="13" t="s">
        <v>50</v>
      </c>
    </row>
    <row r="1495" spans="1:9" x14ac:dyDescent="0.3">
      <c r="A1495" s="12">
        <v>46021</v>
      </c>
      <c r="B1495" s="13" t="s">
        <v>20</v>
      </c>
      <c r="C1495" s="13" t="s">
        <v>10</v>
      </c>
      <c r="D1495" s="13" t="s">
        <v>27</v>
      </c>
      <c r="E1495" s="13">
        <v>1</v>
      </c>
      <c r="F1495" s="14">
        <v>11433</v>
      </c>
      <c r="G1495" s="14">
        <v>11433</v>
      </c>
      <c r="H1495" s="13" t="s">
        <v>49</v>
      </c>
      <c r="I1495" s="13" t="s">
        <v>50</v>
      </c>
    </row>
    <row r="1496" spans="1:9" x14ac:dyDescent="0.3">
      <c r="A1496" s="12">
        <v>46021</v>
      </c>
      <c r="B1496" s="13" t="s">
        <v>20</v>
      </c>
      <c r="C1496" s="13" t="s">
        <v>15</v>
      </c>
      <c r="D1496" s="13" t="s">
        <v>11</v>
      </c>
      <c r="E1496" s="13">
        <v>7</v>
      </c>
      <c r="F1496" s="14">
        <v>23071</v>
      </c>
      <c r="G1496" s="14">
        <v>161497</v>
      </c>
      <c r="H1496" s="13" t="s">
        <v>49</v>
      </c>
      <c r="I1496" s="13" t="s">
        <v>50</v>
      </c>
    </row>
    <row r="1497" spans="1:9" x14ac:dyDescent="0.3">
      <c r="A1497" s="12">
        <v>46022</v>
      </c>
      <c r="B1497" s="13" t="s">
        <v>9</v>
      </c>
      <c r="C1497" s="13" t="s">
        <v>19</v>
      </c>
      <c r="D1497" s="13" t="s">
        <v>11</v>
      </c>
      <c r="E1497" s="13">
        <v>9</v>
      </c>
      <c r="F1497" s="14">
        <v>17738</v>
      </c>
      <c r="G1497" s="14">
        <v>159642</v>
      </c>
      <c r="H1497" s="13" t="s">
        <v>49</v>
      </c>
      <c r="I1497" s="13" t="s">
        <v>50</v>
      </c>
    </row>
    <row r="1498" spans="1:9" x14ac:dyDescent="0.3">
      <c r="A1498" s="12">
        <v>46022</v>
      </c>
      <c r="B1498" s="13" t="s">
        <v>9</v>
      </c>
      <c r="C1498" s="13" t="s">
        <v>10</v>
      </c>
      <c r="D1498" s="13" t="s">
        <v>14</v>
      </c>
      <c r="E1498" s="13">
        <v>8</v>
      </c>
      <c r="F1498" s="14">
        <v>11757</v>
      </c>
      <c r="G1498" s="14">
        <v>94056</v>
      </c>
      <c r="H1498" s="13" t="s">
        <v>49</v>
      </c>
      <c r="I1498" s="13" t="s">
        <v>50</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8"/>
  <sheetViews>
    <sheetView showGridLines="0" zoomScale="90" zoomScaleNormal="90" workbookViewId="0">
      <selection activeCell="O60" sqref="O60"/>
    </sheetView>
  </sheetViews>
  <sheetFormatPr defaultColWidth="8.6640625" defaultRowHeight="14.4" x14ac:dyDescent="0.3"/>
  <cols>
    <col min="1" max="1" width="14" customWidth="1"/>
    <col min="2" max="2" width="13" customWidth="1"/>
    <col min="3" max="3" width="3" customWidth="1"/>
    <col min="4" max="5" width="13" customWidth="1"/>
    <col min="6" max="6" width="3" customWidth="1"/>
    <col min="7" max="7" width="16" customWidth="1"/>
    <col min="8" max="8" width="13" customWidth="1"/>
    <col min="9" max="9" width="3" customWidth="1"/>
    <col min="10" max="10" width="10" customWidth="1"/>
    <col min="11" max="11" width="13" customWidth="1"/>
    <col min="12" max="12" width="3" customWidth="1"/>
  </cols>
  <sheetData>
    <row r="1" spans="1:12" x14ac:dyDescent="0.3">
      <c r="A1" s="10" t="s">
        <v>51</v>
      </c>
      <c r="B1" s="10"/>
      <c r="C1" s="10"/>
      <c r="D1" s="10"/>
      <c r="E1" s="10"/>
      <c r="F1" s="10"/>
      <c r="G1" s="10"/>
      <c r="H1" s="10"/>
      <c r="I1" s="10"/>
      <c r="J1" s="10"/>
      <c r="K1" s="10"/>
      <c r="L1" s="10"/>
    </row>
    <row r="2" spans="1:12" x14ac:dyDescent="0.3">
      <c r="A2" s="10"/>
      <c r="B2" s="10"/>
      <c r="C2" s="10"/>
      <c r="D2" s="10"/>
      <c r="E2" s="10"/>
      <c r="F2" s="10"/>
      <c r="G2" s="10"/>
      <c r="H2" s="10"/>
      <c r="I2" s="10"/>
      <c r="J2" s="10"/>
      <c r="K2" s="10"/>
      <c r="L2" s="10"/>
    </row>
    <row r="4" spans="1:12" ht="19.5" customHeight="1" x14ac:dyDescent="0.3">
      <c r="A4" s="9" t="s">
        <v>52</v>
      </c>
      <c r="B4" s="9"/>
      <c r="C4" s="9"/>
      <c r="D4" s="8" t="s">
        <v>53</v>
      </c>
      <c r="E4" s="8"/>
      <c r="F4" s="8"/>
      <c r="G4" s="7" t="s">
        <v>54</v>
      </c>
      <c r="H4" s="7"/>
      <c r="I4" s="7"/>
      <c r="J4" s="6" t="s">
        <v>55</v>
      </c>
      <c r="K4" s="6"/>
      <c r="L4" s="6"/>
    </row>
    <row r="5" spans="1:12" ht="27.75" customHeight="1" x14ac:dyDescent="0.3">
      <c r="A5" s="5">
        <f>SUM('Sales Data'!G2:G1498)</f>
        <v>160973198</v>
      </c>
      <c r="B5" s="5"/>
      <c r="C5" s="5"/>
      <c r="D5" s="4">
        <f>SUM('Sales Data'!E2:E1498)</f>
        <v>8382</v>
      </c>
      <c r="E5" s="4"/>
      <c r="F5" s="4"/>
      <c r="G5" s="3">
        <f>COUNTA('Sales Data'!A2:A1498)</f>
        <v>1497</v>
      </c>
      <c r="H5" s="3"/>
      <c r="I5" s="3"/>
      <c r="J5" s="2">
        <f>SUM('Sales Data'!G2:G1498)/COUNTA('Sales Data'!A2:A1498)</f>
        <v>107530.52638610554</v>
      </c>
      <c r="K5" s="2"/>
      <c r="L5" s="2"/>
    </row>
    <row r="6" spans="1:12" ht="9.75" customHeight="1" x14ac:dyDescent="0.3">
      <c r="A6" s="5"/>
      <c r="B6" s="5"/>
      <c r="C6" s="5"/>
      <c r="D6" s="4"/>
      <c r="E6" s="4"/>
      <c r="F6" s="4"/>
      <c r="G6" s="3"/>
      <c r="H6" s="3"/>
      <c r="I6" s="3"/>
      <c r="J6" s="2"/>
      <c r="K6" s="2"/>
      <c r="L6" s="2"/>
    </row>
    <row r="8" spans="1:12" ht="16.8" x14ac:dyDescent="0.3">
      <c r="A8" s="15" t="s">
        <v>56</v>
      </c>
      <c r="D8" s="15" t="s">
        <v>57</v>
      </c>
      <c r="G8" s="15" t="s">
        <v>58</v>
      </c>
      <c r="J8" s="15" t="s">
        <v>59</v>
      </c>
    </row>
    <row r="9" spans="1:12" x14ac:dyDescent="0.3">
      <c r="A9" s="16" t="s">
        <v>1</v>
      </c>
      <c r="B9" s="16" t="s">
        <v>6</v>
      </c>
      <c r="D9" s="16" t="s">
        <v>2</v>
      </c>
      <c r="E9" s="16" t="s">
        <v>6</v>
      </c>
      <c r="G9" s="16" t="s">
        <v>3</v>
      </c>
      <c r="H9" s="16" t="s">
        <v>6</v>
      </c>
      <c r="J9" s="16" t="s">
        <v>7</v>
      </c>
      <c r="K9" s="16" t="s">
        <v>6</v>
      </c>
    </row>
    <row r="10" spans="1:12" x14ac:dyDescent="0.3">
      <c r="A10" s="17" t="s">
        <v>20</v>
      </c>
      <c r="B10" s="18">
        <f>SUMIFS('Sales Data'!$G$2:$G$1498,'Sales Data'!$B$2:$B$1498,A10)</f>
        <v>35602461</v>
      </c>
      <c r="D10" s="17" t="s">
        <v>21</v>
      </c>
      <c r="E10" s="18">
        <f>SUMIFS('Sales Data'!$G$2:$G$1498,'Sales Data'!$C$2:$C$1498,D10)</f>
        <v>4838043</v>
      </c>
      <c r="G10" s="17" t="s">
        <v>28</v>
      </c>
      <c r="H10" s="18">
        <f>SUMIFS('Sales Data'!$G$2:$G$1498,'Sales Data'!$D$2:$D$1498,G10)</f>
        <v>17924875</v>
      </c>
      <c r="J10" s="17" t="s">
        <v>13</v>
      </c>
      <c r="K10" s="18">
        <f>SUMIFS('Sales Data'!$G$2:$G$1498,'Sales Data'!$H$2:$H$1498,"2025-01")</f>
        <v>15034306</v>
      </c>
    </row>
    <row r="11" spans="1:12" x14ac:dyDescent="0.3">
      <c r="A11" s="17" t="s">
        <v>9</v>
      </c>
      <c r="B11" s="18">
        <f>SUMIFS('Sales Data'!$G$2:$G$1498,'Sales Data'!$B$2:$B$1498,A11)</f>
        <v>39614277</v>
      </c>
      <c r="D11" s="17" t="s">
        <v>25</v>
      </c>
      <c r="E11" s="18">
        <f>SUMIFS('Sales Data'!$G$2:$G$1498,'Sales Data'!$C$2:$C$1498,D11)</f>
        <v>71613670</v>
      </c>
      <c r="G11" s="17" t="s">
        <v>26</v>
      </c>
      <c r="H11" s="18">
        <f>SUMIFS('Sales Data'!$G$2:$G$1498,'Sales Data'!$D$2:$D$1498,G11)</f>
        <v>17304614</v>
      </c>
      <c r="J11" s="17" t="s">
        <v>30</v>
      </c>
      <c r="K11" s="18">
        <f>SUMIFS('Sales Data'!$G$2:$G$1498,'Sales Data'!$H$2:$H$1498,"2025-02")</f>
        <v>12668150</v>
      </c>
    </row>
    <row r="12" spans="1:12" x14ac:dyDescent="0.3">
      <c r="A12" s="17" t="s">
        <v>17</v>
      </c>
      <c r="B12" s="18">
        <f>SUMIFS('Sales Data'!$G$2:$G$1498,'Sales Data'!$B$2:$B$1498,A12)</f>
        <v>40131457</v>
      </c>
      <c r="D12" s="17" t="s">
        <v>10</v>
      </c>
      <c r="E12" s="18">
        <f>SUMIFS('Sales Data'!$G$2:$G$1498,'Sales Data'!$C$2:$C$1498,D12)</f>
        <v>18164906</v>
      </c>
      <c r="G12" s="17" t="s">
        <v>24</v>
      </c>
      <c r="H12" s="18">
        <f>SUMIFS('Sales Data'!$G$2:$G$1498,'Sales Data'!$D$2:$D$1498,G12)</f>
        <v>21983717</v>
      </c>
      <c r="J12" s="17" t="s">
        <v>32</v>
      </c>
      <c r="K12" s="18">
        <f>SUMIFS('Sales Data'!$G$2:$G$1498,'Sales Data'!$H$2:$H$1498,"2025-03")</f>
        <v>12469176</v>
      </c>
    </row>
    <row r="13" spans="1:12" x14ac:dyDescent="0.3">
      <c r="A13" s="17" t="s">
        <v>23</v>
      </c>
      <c r="B13" s="18">
        <f>SUMIFS('Sales Data'!$G$2:$G$1498,'Sales Data'!$B$2:$B$1498,A13)</f>
        <v>45625003</v>
      </c>
      <c r="D13" s="17" t="s">
        <v>15</v>
      </c>
      <c r="E13" s="18">
        <f>SUMIFS('Sales Data'!$G$2:$G$1498,'Sales Data'!$C$2:$C$1498,D13)</f>
        <v>30763378</v>
      </c>
      <c r="G13" s="17" t="s">
        <v>18</v>
      </c>
      <c r="H13" s="18">
        <f>SUMIFS('Sales Data'!$G$2:$G$1498,'Sales Data'!$D$2:$D$1498,G13)</f>
        <v>19879609</v>
      </c>
      <c r="J13" s="17" t="s">
        <v>34</v>
      </c>
      <c r="K13" s="18">
        <f>SUMIFS('Sales Data'!$G$2:$G$1498,'Sales Data'!$H$2:$H$1498,"2025-04")</f>
        <v>13640458</v>
      </c>
    </row>
    <row r="14" spans="1:12" x14ac:dyDescent="0.3">
      <c r="D14" s="17" t="s">
        <v>22</v>
      </c>
      <c r="E14" s="18">
        <f>SUMIFS('Sales Data'!$G$2:$G$1498,'Sales Data'!$C$2:$C$1498,D14)</f>
        <v>11605584</v>
      </c>
      <c r="G14" s="17" t="s">
        <v>14</v>
      </c>
      <c r="H14" s="18">
        <f>SUMIFS('Sales Data'!$G$2:$G$1498,'Sales Data'!$D$2:$D$1498,G14)</f>
        <v>18037441</v>
      </c>
      <c r="J14" s="17" t="s">
        <v>36</v>
      </c>
      <c r="K14" s="18">
        <f>SUMIFS('Sales Data'!$G$2:$G$1498,'Sales Data'!$H$2:$H$1498,"2025-05")</f>
        <v>12557675</v>
      </c>
    </row>
    <row r="15" spans="1:12" x14ac:dyDescent="0.3">
      <c r="D15" s="17" t="s">
        <v>19</v>
      </c>
      <c r="E15" s="18">
        <f>SUMIFS('Sales Data'!$G$2:$G$1498,'Sales Data'!$C$2:$C$1498,D15)</f>
        <v>23987617</v>
      </c>
      <c r="G15" s="17" t="s">
        <v>27</v>
      </c>
      <c r="H15" s="18">
        <f>SUMIFS('Sales Data'!$G$2:$G$1498,'Sales Data'!$D$2:$D$1498,G15)</f>
        <v>16592380</v>
      </c>
      <c r="J15" s="17" t="s">
        <v>38</v>
      </c>
      <c r="K15" s="18">
        <f>SUMIFS('Sales Data'!$G$2:$G$1498,'Sales Data'!$H$2:$H$1498,"2025-06")</f>
        <v>13314351</v>
      </c>
    </row>
    <row r="16" spans="1:12" x14ac:dyDescent="0.3">
      <c r="G16" s="17" t="s">
        <v>16</v>
      </c>
      <c r="H16" s="18">
        <f>SUMIFS('Sales Data'!$G$2:$G$1498,'Sales Data'!$D$2:$D$1498,G16)</f>
        <v>24026391</v>
      </c>
      <c r="J16" s="17" t="s">
        <v>40</v>
      </c>
      <c r="K16" s="18">
        <f>SUMIFS('Sales Data'!$G$2:$G$1498,'Sales Data'!$H$2:$H$1498,"2025-07")</f>
        <v>11858253</v>
      </c>
    </row>
    <row r="17" spans="7:11" x14ac:dyDescent="0.3">
      <c r="G17" s="17" t="s">
        <v>11</v>
      </c>
      <c r="H17" s="18">
        <f>SUMIFS('Sales Data'!$G$2:$G$1498,'Sales Data'!$D$2:$D$1498,G17)</f>
        <v>25224171</v>
      </c>
      <c r="J17" s="17" t="s">
        <v>42</v>
      </c>
      <c r="K17" s="18">
        <f>SUMIFS('Sales Data'!$G$2:$G$1498,'Sales Data'!$H$2:$H$1498,"2025-08")</f>
        <v>14753190</v>
      </c>
    </row>
    <row r="18" spans="7:11" x14ac:dyDescent="0.3">
      <c r="J18" s="17" t="s">
        <v>44</v>
      </c>
      <c r="K18" s="18">
        <f>SUMIFS('Sales Data'!$G$2:$G$1498,'Sales Data'!$H$2:$H$1498,"2025-09")</f>
        <v>13974042</v>
      </c>
    </row>
    <row r="19" spans="7:11" x14ac:dyDescent="0.3">
      <c r="J19" s="17" t="s">
        <v>46</v>
      </c>
      <c r="K19" s="18">
        <f>SUMIFS('Sales Data'!$G$2:$G$1498,'Sales Data'!$H$2:$H$1498,"2025-10")</f>
        <v>13698773</v>
      </c>
    </row>
    <row r="20" spans="7:11" x14ac:dyDescent="0.3">
      <c r="J20" s="17" t="s">
        <v>48</v>
      </c>
      <c r="K20" s="18">
        <f>SUMIFS('Sales Data'!$G$2:$G$1498,'Sales Data'!$H$2:$H$1498,"2025-11")</f>
        <v>13067784</v>
      </c>
    </row>
    <row r="21" spans="7:11" x14ac:dyDescent="0.3">
      <c r="J21" s="17" t="s">
        <v>50</v>
      </c>
      <c r="K21" s="18">
        <f>SUMIFS('Sales Data'!$G$2:$G$1498,'Sales Data'!$H$2:$H$1498,"2025-12")</f>
        <v>13937040</v>
      </c>
    </row>
    <row r="58" spans="1:12" x14ac:dyDescent="0.3">
      <c r="A58" s="1"/>
      <c r="B58" s="1"/>
      <c r="C58" s="1"/>
      <c r="D58" s="1"/>
      <c r="E58" s="1"/>
      <c r="F58" s="1"/>
      <c r="G58" s="1"/>
      <c r="H58" s="1"/>
      <c r="I58" s="1"/>
      <c r="J58" s="1"/>
      <c r="K58" s="1"/>
      <c r="L58" s="1"/>
    </row>
  </sheetData>
  <mergeCells count="10">
    <mergeCell ref="A5:C6"/>
    <mergeCell ref="D5:F6"/>
    <mergeCell ref="G5:I6"/>
    <mergeCell ref="J5:L6"/>
    <mergeCell ref="A58:L58"/>
    <mergeCell ref="A1:L2"/>
    <mergeCell ref="A4:C4"/>
    <mergeCell ref="D4:F4"/>
    <mergeCell ref="G4:I4"/>
    <mergeCell ref="J4:L4"/>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C7FF-7130-45BC-A7E8-C651ED31F250}">
  <dimension ref="A3:B10"/>
  <sheetViews>
    <sheetView workbookViewId="0">
      <selection activeCell="T7" sqref="T7"/>
    </sheetView>
  </sheetViews>
  <sheetFormatPr defaultRowHeight="14.4" x14ac:dyDescent="0.3"/>
  <cols>
    <col min="1" max="1" width="12.5546875" bestFit="1" customWidth="1"/>
    <col min="2" max="2" width="14.88671875" bestFit="1" customWidth="1"/>
  </cols>
  <sheetData>
    <row r="3" spans="1:2" x14ac:dyDescent="0.3">
      <c r="A3" s="19" t="s">
        <v>60</v>
      </c>
      <c r="B3" s="20" t="s">
        <v>62</v>
      </c>
    </row>
    <row r="4" spans="1:2" x14ac:dyDescent="0.3">
      <c r="A4" s="21" t="s">
        <v>21</v>
      </c>
      <c r="B4" s="22">
        <v>4838043</v>
      </c>
    </row>
    <row r="5" spans="1:2" x14ac:dyDescent="0.3">
      <c r="A5" s="21" t="s">
        <v>25</v>
      </c>
      <c r="B5" s="22">
        <v>71613670</v>
      </c>
    </row>
    <row r="6" spans="1:2" x14ac:dyDescent="0.3">
      <c r="A6" s="21" t="s">
        <v>10</v>
      </c>
      <c r="B6" s="22">
        <v>18164906</v>
      </c>
    </row>
    <row r="7" spans="1:2" x14ac:dyDescent="0.3">
      <c r="A7" s="21" t="s">
        <v>15</v>
      </c>
      <c r="B7" s="22">
        <v>30763378</v>
      </c>
    </row>
    <row r="8" spans="1:2" x14ac:dyDescent="0.3">
      <c r="A8" s="21" t="s">
        <v>22</v>
      </c>
      <c r="B8" s="22">
        <v>11605584</v>
      </c>
    </row>
    <row r="9" spans="1:2" x14ac:dyDescent="0.3">
      <c r="A9" s="21" t="s">
        <v>19</v>
      </c>
      <c r="B9" s="22">
        <v>23987617</v>
      </c>
    </row>
    <row r="10" spans="1:2" x14ac:dyDescent="0.3">
      <c r="A10" s="21" t="s">
        <v>61</v>
      </c>
      <c r="B10" s="22">
        <v>160973198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Pivot &amp; Slicer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Md Nishar Alam</cp:lastModifiedBy>
  <cp:revision>1</cp:revision>
  <dcterms:created xsi:type="dcterms:W3CDTF">2026-07-26T16:02:42Z</dcterms:created>
  <dcterms:modified xsi:type="dcterms:W3CDTF">2026-07-26T16:18:53Z</dcterms:modified>
  <dc:language>en-US</dc:language>
</cp:coreProperties>
</file>